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Администратор\Desktop\"/>
    </mc:Choice>
  </mc:AlternateContent>
  <xr:revisionPtr revIDLastSave="0" documentId="13_ncr:1_{AB00B04B-2A8C-4E17-B379-3065930819D3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dataset" sheetId="2" r:id="rId1"/>
    <sheet name="Position_Map" sheetId="3" r:id="rId2"/>
    <sheet name="Headcount" sheetId="5" r:id="rId3"/>
    <sheet name="Payroll_Department" sheetId="6" r:id="rId4"/>
    <sheet name="Payroll_Job function" sheetId="7" r:id="rId5"/>
    <sheet name="Average_monthly salary" sheetId="8" r:id="rId6"/>
    <sheet name="Dashboard" sheetId="9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J2" i="2"/>
  <c r="I2" i="2"/>
  <c r="R642" i="2"/>
  <c r="N642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3" i="2"/>
  <c r="D4" i="2"/>
  <c r="D5" i="2"/>
  <c r="D6" i="2"/>
  <c r="D7" i="2"/>
  <c r="D8" i="2"/>
  <c r="D2" i="2"/>
  <c r="L2" i="2"/>
  <c r="K442" i="2"/>
  <c r="T636" i="2"/>
  <c r="T641" i="2"/>
  <c r="T640" i="2"/>
  <c r="T639" i="2"/>
  <c r="T638" i="2"/>
  <c r="T637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L549" i="2"/>
  <c r="M548" i="2" s="1"/>
  <c r="N548" i="2" s="1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S371" i="2" s="1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7" i="2"/>
  <c r="S397" i="2" s="1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S405" i="2" s="1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S416" i="2" s="1"/>
  <c r="R417" i="2"/>
  <c r="S417" i="2" s="1"/>
  <c r="R418" i="2"/>
  <c r="S418" i="2" s="1"/>
  <c r="R419" i="2"/>
  <c r="S419" i="2" s="1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S483" i="2" s="1"/>
  <c r="R484" i="2"/>
  <c r="S484" i="2" s="1"/>
  <c r="R485" i="2"/>
  <c r="S485" i="2" s="1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S524" i="2" s="1"/>
  <c r="R525" i="2"/>
  <c r="S525" i="2" s="1"/>
  <c r="R526" i="2"/>
  <c r="S526" i="2" s="1"/>
  <c r="R527" i="2"/>
  <c r="S527" i="2" s="1"/>
  <c r="R528" i="2"/>
  <c r="S528" i="2" s="1"/>
  <c r="R529" i="2"/>
  <c r="S529" i="2" s="1"/>
  <c r="R530" i="2"/>
  <c r="S530" i="2" s="1"/>
  <c r="R531" i="2"/>
  <c r="S531" i="2" s="1"/>
  <c r="R532" i="2"/>
  <c r="S532" i="2" s="1"/>
  <c r="R533" i="2"/>
  <c r="S533" i="2" s="1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S548" i="2" s="1"/>
  <c r="R549" i="2"/>
  <c r="S549" i="2" s="1"/>
  <c r="R550" i="2"/>
  <c r="S550" i="2" s="1"/>
  <c r="R551" i="2"/>
  <c r="S551" i="2" s="1"/>
  <c r="R552" i="2"/>
  <c r="S552" i="2" s="1"/>
  <c r="R553" i="2"/>
  <c r="S553" i="2" s="1"/>
  <c r="R554" i="2"/>
  <c r="S554" i="2" s="1"/>
  <c r="R555" i="2"/>
  <c r="S555" i="2" s="1"/>
  <c r="R556" i="2"/>
  <c r="S556" i="2" s="1"/>
  <c r="R557" i="2"/>
  <c r="S557" i="2" s="1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S564" i="2" s="1"/>
  <c r="R565" i="2"/>
  <c r="S565" i="2" s="1"/>
  <c r="R566" i="2"/>
  <c r="S566" i="2" s="1"/>
  <c r="R567" i="2"/>
  <c r="S567" i="2" s="1"/>
  <c r="R568" i="2"/>
  <c r="S568" i="2" s="1"/>
  <c r="R569" i="2"/>
  <c r="S569" i="2" s="1"/>
  <c r="R570" i="2"/>
  <c r="S570" i="2" s="1"/>
  <c r="R571" i="2"/>
  <c r="S571" i="2" s="1"/>
  <c r="R572" i="2"/>
  <c r="S572" i="2" s="1"/>
  <c r="R573" i="2"/>
  <c r="S573" i="2" s="1"/>
  <c r="R574" i="2"/>
  <c r="S574" i="2" s="1"/>
  <c r="R575" i="2"/>
  <c r="S575" i="2" s="1"/>
  <c r="R576" i="2"/>
  <c r="S576" i="2" s="1"/>
  <c r="R577" i="2"/>
  <c r="S577" i="2" s="1"/>
  <c r="R578" i="2"/>
  <c r="S578" i="2" s="1"/>
  <c r="R579" i="2"/>
  <c r="S579" i="2" s="1"/>
  <c r="R580" i="2"/>
  <c r="S580" i="2" s="1"/>
  <c r="R581" i="2"/>
  <c r="S581" i="2" s="1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S589" i="2" s="1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S596" i="2" s="1"/>
  <c r="R597" i="2"/>
  <c r="S597" i="2" s="1"/>
  <c r="R598" i="2"/>
  <c r="S598" i="2" s="1"/>
  <c r="R599" i="2"/>
  <c r="S599" i="2" s="1"/>
  <c r="R600" i="2"/>
  <c r="S600" i="2" s="1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21" i="2"/>
  <c r="S621" i="2" s="1"/>
  <c r="R622" i="2"/>
  <c r="S622" i="2" s="1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S640" i="2" s="1"/>
  <c r="R641" i="2"/>
  <c r="S641" i="2" s="1"/>
  <c r="L641" i="2"/>
  <c r="M640" i="2" s="1"/>
  <c r="N640" i="2" s="1"/>
  <c r="L640" i="2"/>
  <c r="M639" i="2" s="1"/>
  <c r="L639" i="2"/>
  <c r="M638" i="2" s="1"/>
  <c r="N638" i="2" s="1"/>
  <c r="L638" i="2"/>
  <c r="M637" i="2" s="1"/>
  <c r="N637" i="2" s="1"/>
  <c r="L637" i="2"/>
  <c r="M636" i="2" s="1"/>
  <c r="N636" i="2" s="1"/>
  <c r="L636" i="2"/>
  <c r="M635" i="2" s="1"/>
  <c r="N635" i="2" s="1"/>
  <c r="L635" i="2"/>
  <c r="M634" i="2" s="1"/>
  <c r="N634" i="2" s="1"/>
  <c r="L634" i="2"/>
  <c r="M633" i="2" s="1"/>
  <c r="N633" i="2" s="1"/>
  <c r="L633" i="2"/>
  <c r="M632" i="2" s="1"/>
  <c r="N632" i="2" s="1"/>
  <c r="L632" i="2"/>
  <c r="M631" i="2" s="1"/>
  <c r="L631" i="2"/>
  <c r="M630" i="2" s="1"/>
  <c r="N630" i="2" s="1"/>
  <c r="L630" i="2"/>
  <c r="M629" i="2" s="1"/>
  <c r="N629" i="2" s="1"/>
  <c r="L629" i="2"/>
  <c r="M628" i="2" s="1"/>
  <c r="N628" i="2" s="1"/>
  <c r="L628" i="2"/>
  <c r="M627" i="2" s="1"/>
  <c r="N627" i="2" s="1"/>
  <c r="L627" i="2"/>
  <c r="M626" i="2" s="1"/>
  <c r="N626" i="2" s="1"/>
  <c r="L626" i="2"/>
  <c r="M625" i="2" s="1"/>
  <c r="N625" i="2" s="1"/>
  <c r="L625" i="2"/>
  <c r="M624" i="2" s="1"/>
  <c r="N624" i="2" s="1"/>
  <c r="L624" i="2"/>
  <c r="M623" i="2" s="1"/>
  <c r="L623" i="2"/>
  <c r="M622" i="2" s="1"/>
  <c r="N622" i="2" s="1"/>
  <c r="L622" i="2"/>
  <c r="M621" i="2" s="1"/>
  <c r="N621" i="2" s="1"/>
  <c r="L621" i="2"/>
  <c r="M620" i="2" s="1"/>
  <c r="N620" i="2" s="1"/>
  <c r="L620" i="2"/>
  <c r="M619" i="2" s="1"/>
  <c r="N619" i="2" s="1"/>
  <c r="L619" i="2"/>
  <c r="M618" i="2" s="1"/>
  <c r="N618" i="2" s="1"/>
  <c r="L618" i="2"/>
  <c r="M617" i="2" s="1"/>
  <c r="N617" i="2" s="1"/>
  <c r="L617" i="2"/>
  <c r="M616" i="2" s="1"/>
  <c r="N616" i="2" s="1"/>
  <c r="L616" i="2"/>
  <c r="M615" i="2" s="1"/>
  <c r="L615" i="2"/>
  <c r="M614" i="2" s="1"/>
  <c r="N614" i="2" s="1"/>
  <c r="L614" i="2"/>
  <c r="M613" i="2" s="1"/>
  <c r="N613" i="2" s="1"/>
  <c r="L613" i="2"/>
  <c r="M612" i="2" s="1"/>
  <c r="N612" i="2" s="1"/>
  <c r="L612" i="2"/>
  <c r="M611" i="2" s="1"/>
  <c r="N611" i="2" s="1"/>
  <c r="L611" i="2"/>
  <c r="M610" i="2" s="1"/>
  <c r="N610" i="2" s="1"/>
  <c r="L610" i="2"/>
  <c r="M609" i="2" s="1"/>
  <c r="N609" i="2" s="1"/>
  <c r="L609" i="2"/>
  <c r="M608" i="2" s="1"/>
  <c r="N608" i="2" s="1"/>
  <c r="L608" i="2"/>
  <c r="M607" i="2" s="1"/>
  <c r="L607" i="2"/>
  <c r="M606" i="2" s="1"/>
  <c r="N606" i="2" s="1"/>
  <c r="L606" i="2"/>
  <c r="M605" i="2" s="1"/>
  <c r="N605" i="2" s="1"/>
  <c r="L605" i="2"/>
  <c r="M604" i="2" s="1"/>
  <c r="N604" i="2" s="1"/>
  <c r="L604" i="2"/>
  <c r="M603" i="2" s="1"/>
  <c r="N603" i="2" s="1"/>
  <c r="L603" i="2"/>
  <c r="M602" i="2" s="1"/>
  <c r="N602" i="2" s="1"/>
  <c r="L602" i="2"/>
  <c r="M601" i="2" s="1"/>
  <c r="N601" i="2" s="1"/>
  <c r="L601" i="2"/>
  <c r="M600" i="2" s="1"/>
  <c r="N600" i="2" s="1"/>
  <c r="L600" i="2"/>
  <c r="M599" i="2" s="1"/>
  <c r="L599" i="2"/>
  <c r="M598" i="2" s="1"/>
  <c r="N598" i="2" s="1"/>
  <c r="L598" i="2"/>
  <c r="M597" i="2" s="1"/>
  <c r="N597" i="2" s="1"/>
  <c r="L597" i="2"/>
  <c r="M596" i="2" s="1"/>
  <c r="N596" i="2" s="1"/>
  <c r="L596" i="2"/>
  <c r="M595" i="2" s="1"/>
  <c r="N595" i="2" s="1"/>
  <c r="L595" i="2"/>
  <c r="M594" i="2" s="1"/>
  <c r="N594" i="2" s="1"/>
  <c r="L594" i="2"/>
  <c r="M593" i="2" s="1"/>
  <c r="N593" i="2" s="1"/>
  <c r="L593" i="2"/>
  <c r="M592" i="2" s="1"/>
  <c r="N592" i="2" s="1"/>
  <c r="L592" i="2"/>
  <c r="M591" i="2" s="1"/>
  <c r="L591" i="2"/>
  <c r="M590" i="2" s="1"/>
  <c r="N590" i="2" s="1"/>
  <c r="L590" i="2"/>
  <c r="M589" i="2" s="1"/>
  <c r="N589" i="2" s="1"/>
  <c r="L589" i="2"/>
  <c r="M588" i="2" s="1"/>
  <c r="N588" i="2" s="1"/>
  <c r="L588" i="2"/>
  <c r="M587" i="2" s="1"/>
  <c r="N587" i="2" s="1"/>
  <c r="L587" i="2"/>
  <c r="M586" i="2" s="1"/>
  <c r="N586" i="2" s="1"/>
  <c r="L586" i="2"/>
  <c r="M585" i="2" s="1"/>
  <c r="N585" i="2" s="1"/>
  <c r="L585" i="2"/>
  <c r="M584" i="2" s="1"/>
  <c r="N584" i="2" s="1"/>
  <c r="L584" i="2"/>
  <c r="M583" i="2" s="1"/>
  <c r="L583" i="2"/>
  <c r="M582" i="2" s="1"/>
  <c r="N582" i="2" s="1"/>
  <c r="L582" i="2"/>
  <c r="M581" i="2" s="1"/>
  <c r="N581" i="2" s="1"/>
  <c r="L581" i="2"/>
  <c r="M580" i="2" s="1"/>
  <c r="N580" i="2" s="1"/>
  <c r="L580" i="2"/>
  <c r="M579" i="2" s="1"/>
  <c r="N579" i="2" s="1"/>
  <c r="L579" i="2"/>
  <c r="M578" i="2" s="1"/>
  <c r="N578" i="2" s="1"/>
  <c r="L578" i="2"/>
  <c r="M577" i="2" s="1"/>
  <c r="N577" i="2" s="1"/>
  <c r="L577" i="2"/>
  <c r="M576" i="2" s="1"/>
  <c r="N576" i="2" s="1"/>
  <c r="L576" i="2"/>
  <c r="M575" i="2" s="1"/>
  <c r="N575" i="2" s="1"/>
  <c r="L575" i="2"/>
  <c r="M574" i="2" s="1"/>
  <c r="N574" i="2" s="1"/>
  <c r="L574" i="2"/>
  <c r="M573" i="2" s="1"/>
  <c r="N573" i="2" s="1"/>
  <c r="L573" i="2"/>
  <c r="M572" i="2" s="1"/>
  <c r="N572" i="2" s="1"/>
  <c r="L572" i="2"/>
  <c r="M571" i="2" s="1"/>
  <c r="N571" i="2" s="1"/>
  <c r="L571" i="2"/>
  <c r="M570" i="2" s="1"/>
  <c r="N570" i="2" s="1"/>
  <c r="L570" i="2"/>
  <c r="M569" i="2" s="1"/>
  <c r="N569" i="2" s="1"/>
  <c r="L569" i="2"/>
  <c r="M568" i="2" s="1"/>
  <c r="N568" i="2" s="1"/>
  <c r="L568" i="2"/>
  <c r="M567" i="2" s="1"/>
  <c r="N567" i="2" s="1"/>
  <c r="L567" i="2"/>
  <c r="M566" i="2" s="1"/>
  <c r="N566" i="2" s="1"/>
  <c r="L566" i="2"/>
  <c r="M565" i="2" s="1"/>
  <c r="N565" i="2" s="1"/>
  <c r="L565" i="2"/>
  <c r="M564" i="2" s="1"/>
  <c r="N564" i="2" s="1"/>
  <c r="L564" i="2"/>
  <c r="M563" i="2" s="1"/>
  <c r="N563" i="2" s="1"/>
  <c r="L563" i="2"/>
  <c r="M562" i="2" s="1"/>
  <c r="N562" i="2" s="1"/>
  <c r="L562" i="2"/>
  <c r="M561" i="2" s="1"/>
  <c r="N561" i="2" s="1"/>
  <c r="L561" i="2"/>
  <c r="M560" i="2" s="1"/>
  <c r="N560" i="2" s="1"/>
  <c r="L560" i="2"/>
  <c r="M559" i="2" s="1"/>
  <c r="N559" i="2" s="1"/>
  <c r="L559" i="2"/>
  <c r="M558" i="2" s="1"/>
  <c r="L558" i="2"/>
  <c r="M557" i="2" s="1"/>
  <c r="N557" i="2" s="1"/>
  <c r="L557" i="2"/>
  <c r="M556" i="2" s="1"/>
  <c r="N556" i="2" s="1"/>
  <c r="L556" i="2"/>
  <c r="M555" i="2" s="1"/>
  <c r="N555" i="2" s="1"/>
  <c r="L555" i="2"/>
  <c r="M554" i="2" s="1"/>
  <c r="N554" i="2" s="1"/>
  <c r="L554" i="2"/>
  <c r="M553" i="2" s="1"/>
  <c r="N553" i="2" s="1"/>
  <c r="L553" i="2"/>
  <c r="M552" i="2" s="1"/>
  <c r="N552" i="2" s="1"/>
  <c r="L552" i="2"/>
  <c r="M551" i="2" s="1"/>
  <c r="N551" i="2" s="1"/>
  <c r="L551" i="2"/>
  <c r="M550" i="2" s="1"/>
  <c r="L550" i="2"/>
  <c r="M549" i="2" s="1"/>
  <c r="N549" i="2" s="1"/>
  <c r="L548" i="2"/>
  <c r="M547" i="2" s="1"/>
  <c r="N547" i="2" s="1"/>
  <c r="L547" i="2"/>
  <c r="M546" i="2" s="1"/>
  <c r="N546" i="2" s="1"/>
  <c r="L546" i="2"/>
  <c r="M545" i="2" s="1"/>
  <c r="N545" i="2" s="1"/>
  <c r="L545" i="2"/>
  <c r="M544" i="2" s="1"/>
  <c r="N544" i="2" s="1"/>
  <c r="L544" i="2"/>
  <c r="M543" i="2" s="1"/>
  <c r="N543" i="2" s="1"/>
  <c r="L543" i="2"/>
  <c r="M542" i="2" s="1"/>
  <c r="L542" i="2"/>
  <c r="M541" i="2" s="1"/>
  <c r="N541" i="2" s="1"/>
  <c r="L541" i="2"/>
  <c r="M540" i="2" s="1"/>
  <c r="N540" i="2" s="1"/>
  <c r="L540" i="2"/>
  <c r="M539" i="2" s="1"/>
  <c r="N539" i="2" s="1"/>
  <c r="L539" i="2"/>
  <c r="M538" i="2" s="1"/>
  <c r="N538" i="2" s="1"/>
  <c r="L538" i="2"/>
  <c r="M537" i="2" s="1"/>
  <c r="N537" i="2" s="1"/>
  <c r="L537" i="2"/>
  <c r="M536" i="2" s="1"/>
  <c r="N536" i="2" s="1"/>
  <c r="L536" i="2"/>
  <c r="M535" i="2" s="1"/>
  <c r="N535" i="2" s="1"/>
  <c r="L535" i="2"/>
  <c r="M534" i="2" s="1"/>
  <c r="N534" i="2" s="1"/>
  <c r="L534" i="2"/>
  <c r="M533" i="2" s="1"/>
  <c r="N533" i="2" s="1"/>
  <c r="L533" i="2"/>
  <c r="M532" i="2" s="1"/>
  <c r="N532" i="2" s="1"/>
  <c r="L532" i="2"/>
  <c r="M531" i="2" s="1"/>
  <c r="N531" i="2" s="1"/>
  <c r="L531" i="2"/>
  <c r="M530" i="2" s="1"/>
  <c r="N530" i="2" s="1"/>
  <c r="L530" i="2"/>
  <c r="M529" i="2" s="1"/>
  <c r="N529" i="2" s="1"/>
  <c r="L529" i="2"/>
  <c r="M528" i="2" s="1"/>
  <c r="N528" i="2" s="1"/>
  <c r="L528" i="2"/>
  <c r="M527" i="2" s="1"/>
  <c r="N527" i="2" s="1"/>
  <c r="L527" i="2"/>
  <c r="M526" i="2" s="1"/>
  <c r="L526" i="2"/>
  <c r="M525" i="2" s="1"/>
  <c r="N525" i="2" s="1"/>
  <c r="L525" i="2"/>
  <c r="M524" i="2" s="1"/>
  <c r="N524" i="2" s="1"/>
  <c r="L524" i="2"/>
  <c r="M523" i="2" s="1"/>
  <c r="N523" i="2" s="1"/>
  <c r="L523" i="2"/>
  <c r="M522" i="2" s="1"/>
  <c r="N522" i="2" s="1"/>
  <c r="L522" i="2"/>
  <c r="M521" i="2" s="1"/>
  <c r="N521" i="2" s="1"/>
  <c r="L521" i="2"/>
  <c r="M520" i="2" s="1"/>
  <c r="N520" i="2" s="1"/>
  <c r="L520" i="2"/>
  <c r="M519" i="2" s="1"/>
  <c r="N519" i="2" s="1"/>
  <c r="L519" i="2"/>
  <c r="M518" i="2" s="1"/>
  <c r="L518" i="2"/>
  <c r="M517" i="2" s="1"/>
  <c r="N517" i="2" s="1"/>
  <c r="L517" i="2"/>
  <c r="M516" i="2" s="1"/>
  <c r="N516" i="2" s="1"/>
  <c r="L516" i="2"/>
  <c r="M515" i="2" s="1"/>
  <c r="N515" i="2" s="1"/>
  <c r="L515" i="2"/>
  <c r="M514" i="2" s="1"/>
  <c r="N514" i="2" s="1"/>
  <c r="L514" i="2"/>
  <c r="M513" i="2" s="1"/>
  <c r="N513" i="2" s="1"/>
  <c r="L513" i="2"/>
  <c r="M512" i="2" s="1"/>
  <c r="N512" i="2" s="1"/>
  <c r="L512" i="2"/>
  <c r="M511" i="2" s="1"/>
  <c r="N511" i="2" s="1"/>
  <c r="L511" i="2"/>
  <c r="M510" i="2" s="1"/>
  <c r="L510" i="2"/>
  <c r="M509" i="2" s="1"/>
  <c r="N509" i="2" s="1"/>
  <c r="L509" i="2"/>
  <c r="M508" i="2" s="1"/>
  <c r="N508" i="2" s="1"/>
  <c r="L508" i="2"/>
  <c r="M507" i="2" s="1"/>
  <c r="N507" i="2" s="1"/>
  <c r="L507" i="2"/>
  <c r="M506" i="2" s="1"/>
  <c r="N506" i="2" s="1"/>
  <c r="L506" i="2"/>
  <c r="M505" i="2" s="1"/>
  <c r="N505" i="2" s="1"/>
  <c r="L505" i="2"/>
  <c r="M504" i="2" s="1"/>
  <c r="N504" i="2" s="1"/>
  <c r="L504" i="2"/>
  <c r="M503" i="2" s="1"/>
  <c r="N503" i="2" s="1"/>
  <c r="L503" i="2"/>
  <c r="M502" i="2" s="1"/>
  <c r="N502" i="2" s="1"/>
  <c r="L502" i="2"/>
  <c r="M501" i="2" s="1"/>
  <c r="N501" i="2" s="1"/>
  <c r="L501" i="2"/>
  <c r="M500" i="2" s="1"/>
  <c r="N500" i="2" s="1"/>
  <c r="L500" i="2"/>
  <c r="M499" i="2" s="1"/>
  <c r="L499" i="2"/>
  <c r="L498" i="2"/>
  <c r="M497" i="2" s="1"/>
  <c r="N497" i="2" s="1"/>
  <c r="L497" i="2"/>
  <c r="M496" i="2" s="1"/>
  <c r="N496" i="2" s="1"/>
  <c r="L496" i="2"/>
  <c r="M495" i="2" s="1"/>
  <c r="L495" i="2"/>
  <c r="M494" i="2" s="1"/>
  <c r="N494" i="2" s="1"/>
  <c r="L494" i="2"/>
  <c r="M493" i="2" s="1"/>
  <c r="N493" i="2" s="1"/>
  <c r="L493" i="2"/>
  <c r="M492" i="2" s="1"/>
  <c r="N492" i="2" s="1"/>
  <c r="L492" i="2"/>
  <c r="M491" i="2" s="1"/>
  <c r="N491" i="2" s="1"/>
  <c r="L491" i="2"/>
  <c r="M490" i="2" s="1"/>
  <c r="N490" i="2" s="1"/>
  <c r="L490" i="2"/>
  <c r="M489" i="2" s="1"/>
  <c r="N489" i="2" s="1"/>
  <c r="L489" i="2"/>
  <c r="M488" i="2" s="1"/>
  <c r="N488" i="2" s="1"/>
  <c r="L488" i="2"/>
  <c r="M487" i="2" s="1"/>
  <c r="L487" i="2"/>
  <c r="M486" i="2" s="1"/>
  <c r="N486" i="2" s="1"/>
  <c r="L486" i="2"/>
  <c r="M485" i="2" s="1"/>
  <c r="N485" i="2" s="1"/>
  <c r="L485" i="2"/>
  <c r="M484" i="2" s="1"/>
  <c r="N484" i="2" s="1"/>
  <c r="L484" i="2"/>
  <c r="M483" i="2" s="1"/>
  <c r="N483" i="2" s="1"/>
  <c r="L483" i="2"/>
  <c r="M482" i="2" s="1"/>
  <c r="N482" i="2" s="1"/>
  <c r="L482" i="2"/>
  <c r="M481" i="2" s="1"/>
  <c r="N481" i="2" s="1"/>
  <c r="L481" i="2"/>
  <c r="M480" i="2" s="1"/>
  <c r="N480" i="2" s="1"/>
  <c r="L480" i="2"/>
  <c r="M479" i="2" s="1"/>
  <c r="L479" i="2"/>
  <c r="M478" i="2" s="1"/>
  <c r="N478" i="2" s="1"/>
  <c r="L478" i="2"/>
  <c r="M477" i="2" s="1"/>
  <c r="N477" i="2" s="1"/>
  <c r="L477" i="2"/>
  <c r="M476" i="2" s="1"/>
  <c r="N476" i="2" s="1"/>
  <c r="L476" i="2"/>
  <c r="M475" i="2" s="1"/>
  <c r="N475" i="2" s="1"/>
  <c r="L475" i="2"/>
  <c r="M474" i="2" s="1"/>
  <c r="N474" i="2" s="1"/>
  <c r="L474" i="2"/>
  <c r="M473" i="2" s="1"/>
  <c r="N473" i="2" s="1"/>
  <c r="L473" i="2"/>
  <c r="M472" i="2" s="1"/>
  <c r="N472" i="2" s="1"/>
  <c r="L472" i="2"/>
  <c r="M471" i="2" s="1"/>
  <c r="N471" i="2" s="1"/>
  <c r="L471" i="2"/>
  <c r="M470" i="2" s="1"/>
  <c r="N470" i="2" s="1"/>
  <c r="L470" i="2"/>
  <c r="M469" i="2" s="1"/>
  <c r="N469" i="2" s="1"/>
  <c r="L469" i="2"/>
  <c r="M468" i="2" s="1"/>
  <c r="N468" i="2" s="1"/>
  <c r="L468" i="2"/>
  <c r="M467" i="2" s="1"/>
  <c r="N467" i="2" s="1"/>
  <c r="L467" i="2"/>
  <c r="M466" i="2" s="1"/>
  <c r="N466" i="2" s="1"/>
  <c r="L466" i="2"/>
  <c r="M465" i="2" s="1"/>
  <c r="N465" i="2" s="1"/>
  <c r="L465" i="2"/>
  <c r="M464" i="2" s="1"/>
  <c r="N464" i="2" s="1"/>
  <c r="L464" i="2"/>
  <c r="M463" i="2" s="1"/>
  <c r="L463" i="2"/>
  <c r="M462" i="2" s="1"/>
  <c r="N462" i="2" s="1"/>
  <c r="L462" i="2"/>
  <c r="M461" i="2" s="1"/>
  <c r="N461" i="2" s="1"/>
  <c r="L461" i="2"/>
  <c r="M460" i="2" s="1"/>
  <c r="N460" i="2" s="1"/>
  <c r="L460" i="2"/>
  <c r="M459" i="2" s="1"/>
  <c r="N459" i="2" s="1"/>
  <c r="L459" i="2"/>
  <c r="M458" i="2" s="1"/>
  <c r="N458" i="2" s="1"/>
  <c r="L458" i="2"/>
  <c r="M457" i="2" s="1"/>
  <c r="N457" i="2" s="1"/>
  <c r="L457" i="2"/>
  <c r="M456" i="2" s="1"/>
  <c r="N456" i="2" s="1"/>
  <c r="L456" i="2"/>
  <c r="M455" i="2" s="1"/>
  <c r="L455" i="2"/>
  <c r="M454" i="2" s="1"/>
  <c r="N454" i="2" s="1"/>
  <c r="L454" i="2"/>
  <c r="M453" i="2" s="1"/>
  <c r="N453" i="2" s="1"/>
  <c r="L453" i="2"/>
  <c r="M452" i="2" s="1"/>
  <c r="N452" i="2" s="1"/>
  <c r="L452" i="2"/>
  <c r="M451" i="2" s="1"/>
  <c r="N451" i="2" s="1"/>
  <c r="L451" i="2"/>
  <c r="M450" i="2" s="1"/>
  <c r="N450" i="2" s="1"/>
  <c r="L450" i="2"/>
  <c r="M449" i="2" s="1"/>
  <c r="N449" i="2" s="1"/>
  <c r="L449" i="2"/>
  <c r="M448" i="2" s="1"/>
  <c r="N448" i="2" s="1"/>
  <c r="L448" i="2"/>
  <c r="M447" i="2" s="1"/>
  <c r="L447" i="2"/>
  <c r="M446" i="2" s="1"/>
  <c r="N446" i="2" s="1"/>
  <c r="L446" i="2"/>
  <c r="M445" i="2" s="1"/>
  <c r="N445" i="2" s="1"/>
  <c r="L445" i="2"/>
  <c r="M444" i="2" s="1"/>
  <c r="N444" i="2" s="1"/>
  <c r="L444" i="2"/>
  <c r="M443" i="2" s="1"/>
  <c r="N443" i="2" s="1"/>
  <c r="L443" i="2"/>
  <c r="M442" i="2" s="1"/>
  <c r="N442" i="2" s="1"/>
  <c r="L442" i="2"/>
  <c r="M441" i="2" s="1"/>
  <c r="N441" i="2" s="1"/>
  <c r="L441" i="2"/>
  <c r="M440" i="2" s="1"/>
  <c r="N440" i="2" s="1"/>
  <c r="L440" i="2"/>
  <c r="M439" i="2" s="1"/>
  <c r="N439" i="2" s="1"/>
  <c r="L439" i="2"/>
  <c r="M438" i="2" s="1"/>
  <c r="N438" i="2" s="1"/>
  <c r="L438" i="2"/>
  <c r="M437" i="2" s="1"/>
  <c r="N437" i="2" s="1"/>
  <c r="L437" i="2"/>
  <c r="M436" i="2" s="1"/>
  <c r="N436" i="2" s="1"/>
  <c r="L436" i="2"/>
  <c r="M435" i="2" s="1"/>
  <c r="N435" i="2" s="1"/>
  <c r="L435" i="2"/>
  <c r="M434" i="2" s="1"/>
  <c r="N434" i="2" s="1"/>
  <c r="L434" i="2"/>
  <c r="M433" i="2" s="1"/>
  <c r="N433" i="2" s="1"/>
  <c r="L433" i="2"/>
  <c r="M432" i="2" s="1"/>
  <c r="N432" i="2" s="1"/>
  <c r="L432" i="2"/>
  <c r="M431" i="2" s="1"/>
  <c r="L431" i="2"/>
  <c r="M430" i="2" s="1"/>
  <c r="N430" i="2" s="1"/>
  <c r="L430" i="2"/>
  <c r="M429" i="2" s="1"/>
  <c r="N429" i="2" s="1"/>
  <c r="L429" i="2"/>
  <c r="M428" i="2" s="1"/>
  <c r="N428" i="2" s="1"/>
  <c r="L428" i="2"/>
  <c r="M427" i="2" s="1"/>
  <c r="N427" i="2" s="1"/>
  <c r="L427" i="2"/>
  <c r="M426" i="2" s="1"/>
  <c r="N426" i="2" s="1"/>
  <c r="L426" i="2"/>
  <c r="M425" i="2" s="1"/>
  <c r="N425" i="2" s="1"/>
  <c r="L425" i="2"/>
  <c r="M424" i="2" s="1"/>
  <c r="N424" i="2" s="1"/>
  <c r="L424" i="2"/>
  <c r="M423" i="2" s="1"/>
  <c r="L423" i="2"/>
  <c r="M422" i="2" s="1"/>
  <c r="N422" i="2" s="1"/>
  <c r="L422" i="2"/>
  <c r="M421" i="2" s="1"/>
  <c r="N421" i="2" s="1"/>
  <c r="L421" i="2"/>
  <c r="M420" i="2" s="1"/>
  <c r="N420" i="2" s="1"/>
  <c r="L420" i="2"/>
  <c r="M419" i="2" s="1"/>
  <c r="N419" i="2" s="1"/>
  <c r="L419" i="2"/>
  <c r="M418" i="2" s="1"/>
  <c r="N418" i="2" s="1"/>
  <c r="L418" i="2"/>
  <c r="M417" i="2" s="1"/>
  <c r="N417" i="2" s="1"/>
  <c r="L417" i="2"/>
  <c r="M416" i="2" s="1"/>
  <c r="N416" i="2" s="1"/>
  <c r="L416" i="2"/>
  <c r="M415" i="2" s="1"/>
  <c r="L415" i="2"/>
  <c r="M414" i="2" s="1"/>
  <c r="N414" i="2" s="1"/>
  <c r="L414" i="2"/>
  <c r="M413" i="2" s="1"/>
  <c r="N413" i="2" s="1"/>
  <c r="L413" i="2"/>
  <c r="M412" i="2" s="1"/>
  <c r="N412" i="2" s="1"/>
  <c r="L412" i="2"/>
  <c r="M411" i="2" s="1"/>
  <c r="N411" i="2" s="1"/>
  <c r="L411" i="2"/>
  <c r="M410" i="2" s="1"/>
  <c r="N410" i="2" s="1"/>
  <c r="L410" i="2"/>
  <c r="M409" i="2" s="1"/>
  <c r="N409" i="2" s="1"/>
  <c r="L409" i="2"/>
  <c r="M408" i="2" s="1"/>
  <c r="N408" i="2" s="1"/>
  <c r="L408" i="2"/>
  <c r="M407" i="2" s="1"/>
  <c r="N407" i="2" s="1"/>
  <c r="L407" i="2"/>
  <c r="M406" i="2" s="1"/>
  <c r="N406" i="2" s="1"/>
  <c r="L406" i="2"/>
  <c r="M405" i="2" s="1"/>
  <c r="N405" i="2" s="1"/>
  <c r="L405" i="2"/>
  <c r="M404" i="2" s="1"/>
  <c r="N404" i="2" s="1"/>
  <c r="L404" i="2"/>
  <c r="M403" i="2" s="1"/>
  <c r="N403" i="2" s="1"/>
  <c r="L403" i="2"/>
  <c r="M402" i="2" s="1"/>
  <c r="N402" i="2" s="1"/>
  <c r="L402" i="2"/>
  <c r="M401" i="2" s="1"/>
  <c r="N401" i="2" s="1"/>
  <c r="L401" i="2"/>
  <c r="M400" i="2" s="1"/>
  <c r="N400" i="2" s="1"/>
  <c r="L400" i="2"/>
  <c r="M399" i="2" s="1"/>
  <c r="L399" i="2"/>
  <c r="M398" i="2" s="1"/>
  <c r="N398" i="2" s="1"/>
  <c r="L398" i="2"/>
  <c r="M397" i="2" s="1"/>
  <c r="N397" i="2" s="1"/>
  <c r="L397" i="2"/>
  <c r="M396" i="2" s="1"/>
  <c r="N396" i="2" s="1"/>
  <c r="L396" i="2"/>
  <c r="M395" i="2" s="1"/>
  <c r="N395" i="2" s="1"/>
  <c r="L395" i="2"/>
  <c r="M394" i="2" s="1"/>
  <c r="N394" i="2" s="1"/>
  <c r="L394" i="2"/>
  <c r="M393" i="2" s="1"/>
  <c r="N393" i="2" s="1"/>
  <c r="L393" i="2"/>
  <c r="M392" i="2" s="1"/>
  <c r="N392" i="2" s="1"/>
  <c r="L392" i="2"/>
  <c r="M391" i="2" s="1"/>
  <c r="L391" i="2"/>
  <c r="M390" i="2" s="1"/>
  <c r="N390" i="2" s="1"/>
  <c r="L390" i="2"/>
  <c r="M389" i="2" s="1"/>
  <c r="N389" i="2" s="1"/>
  <c r="L389" i="2"/>
  <c r="M388" i="2" s="1"/>
  <c r="N388" i="2" s="1"/>
  <c r="L388" i="2"/>
  <c r="M387" i="2" s="1"/>
  <c r="N387" i="2" s="1"/>
  <c r="L387" i="2"/>
  <c r="M386" i="2" s="1"/>
  <c r="N386" i="2" s="1"/>
  <c r="L386" i="2"/>
  <c r="M385" i="2" s="1"/>
  <c r="N385" i="2" s="1"/>
  <c r="L385" i="2"/>
  <c r="M384" i="2" s="1"/>
  <c r="N384" i="2" s="1"/>
  <c r="L384" i="2"/>
  <c r="M383" i="2" s="1"/>
  <c r="L383" i="2"/>
  <c r="M382" i="2" s="1"/>
  <c r="N382" i="2" s="1"/>
  <c r="L382" i="2"/>
  <c r="M381" i="2" s="1"/>
  <c r="N381" i="2" s="1"/>
  <c r="L381" i="2"/>
  <c r="M380" i="2" s="1"/>
  <c r="N380" i="2" s="1"/>
  <c r="L380" i="2"/>
  <c r="M379" i="2" s="1"/>
  <c r="N379" i="2" s="1"/>
  <c r="L379" i="2"/>
  <c r="M378" i="2" s="1"/>
  <c r="N378" i="2" s="1"/>
  <c r="L378" i="2"/>
  <c r="M377" i="2" s="1"/>
  <c r="N377" i="2" s="1"/>
  <c r="L377" i="2"/>
  <c r="M376" i="2" s="1"/>
  <c r="N376" i="2" s="1"/>
  <c r="L376" i="2"/>
  <c r="M375" i="2" s="1"/>
  <c r="N375" i="2" s="1"/>
  <c r="L375" i="2"/>
  <c r="M374" i="2" s="1"/>
  <c r="N374" i="2" s="1"/>
  <c r="L374" i="2"/>
  <c r="M373" i="2" s="1"/>
  <c r="N373" i="2" s="1"/>
  <c r="L373" i="2"/>
  <c r="M372" i="2" s="1"/>
  <c r="N372" i="2" s="1"/>
  <c r="L372" i="2"/>
  <c r="M371" i="2" s="1"/>
  <c r="N371" i="2" s="1"/>
  <c r="L371" i="2"/>
  <c r="M370" i="2" s="1"/>
  <c r="N370" i="2" s="1"/>
  <c r="L370" i="2"/>
  <c r="M369" i="2" s="1"/>
  <c r="N369" i="2" s="1"/>
  <c r="L369" i="2"/>
  <c r="M368" i="2" s="1"/>
  <c r="N368" i="2" s="1"/>
  <c r="L368" i="2"/>
  <c r="M367" i="2" s="1"/>
  <c r="L367" i="2"/>
  <c r="M366" i="2" s="1"/>
  <c r="N366" i="2" s="1"/>
  <c r="L366" i="2"/>
  <c r="M365" i="2" s="1"/>
  <c r="N365" i="2" s="1"/>
  <c r="L365" i="2"/>
  <c r="M364" i="2" s="1"/>
  <c r="N364" i="2" s="1"/>
  <c r="L364" i="2"/>
  <c r="M363" i="2" s="1"/>
  <c r="N363" i="2" s="1"/>
  <c r="L363" i="2"/>
  <c r="M362" i="2" s="1"/>
  <c r="N362" i="2" s="1"/>
  <c r="L362" i="2"/>
  <c r="M361" i="2" s="1"/>
  <c r="N361" i="2" s="1"/>
  <c r="L361" i="2"/>
  <c r="M360" i="2" s="1"/>
  <c r="N360" i="2" s="1"/>
  <c r="L360" i="2"/>
  <c r="M359" i="2" s="1"/>
  <c r="L359" i="2"/>
  <c r="M358" i="2" s="1"/>
  <c r="N358" i="2" s="1"/>
  <c r="L358" i="2"/>
  <c r="M357" i="2" s="1"/>
  <c r="N357" i="2" s="1"/>
  <c r="L357" i="2"/>
  <c r="M356" i="2" s="1"/>
  <c r="N356" i="2" s="1"/>
  <c r="L356" i="2"/>
  <c r="M355" i="2" s="1"/>
  <c r="N355" i="2" s="1"/>
  <c r="L355" i="2"/>
  <c r="M354" i="2" s="1"/>
  <c r="N354" i="2" s="1"/>
  <c r="L354" i="2"/>
  <c r="M353" i="2" s="1"/>
  <c r="N353" i="2" s="1"/>
  <c r="L353" i="2"/>
  <c r="M352" i="2" s="1"/>
  <c r="N352" i="2" s="1"/>
  <c r="L352" i="2"/>
  <c r="M351" i="2" s="1"/>
  <c r="L351" i="2"/>
  <c r="M350" i="2" s="1"/>
  <c r="N350" i="2" s="1"/>
  <c r="L350" i="2"/>
  <c r="M349" i="2" s="1"/>
  <c r="N349" i="2" s="1"/>
  <c r="L349" i="2"/>
  <c r="M348" i="2" s="1"/>
  <c r="N348" i="2" s="1"/>
  <c r="L348" i="2"/>
  <c r="M347" i="2" s="1"/>
  <c r="N347" i="2" s="1"/>
  <c r="L347" i="2"/>
  <c r="M346" i="2" s="1"/>
  <c r="N346" i="2" s="1"/>
  <c r="L346" i="2"/>
  <c r="M345" i="2" s="1"/>
  <c r="N345" i="2" s="1"/>
  <c r="L345" i="2"/>
  <c r="M344" i="2" s="1"/>
  <c r="N344" i="2" s="1"/>
  <c r="L344" i="2"/>
  <c r="M343" i="2" s="1"/>
  <c r="N343" i="2" s="1"/>
  <c r="L343" i="2"/>
  <c r="M342" i="2" s="1"/>
  <c r="N342" i="2" s="1"/>
  <c r="L342" i="2"/>
  <c r="M341" i="2" s="1"/>
  <c r="N341" i="2" s="1"/>
  <c r="L341" i="2"/>
  <c r="M340" i="2" s="1"/>
  <c r="N340" i="2" s="1"/>
  <c r="L340" i="2"/>
  <c r="M339" i="2" s="1"/>
  <c r="N339" i="2" s="1"/>
  <c r="L339" i="2"/>
  <c r="M338" i="2" s="1"/>
  <c r="N338" i="2" s="1"/>
  <c r="L338" i="2"/>
  <c r="M337" i="2" s="1"/>
  <c r="N337" i="2" s="1"/>
  <c r="L337" i="2"/>
  <c r="M336" i="2" s="1"/>
  <c r="N336" i="2" s="1"/>
  <c r="L336" i="2"/>
  <c r="M335" i="2" s="1"/>
  <c r="L335" i="2"/>
  <c r="M334" i="2" s="1"/>
  <c r="N334" i="2" s="1"/>
  <c r="L334" i="2"/>
  <c r="M333" i="2" s="1"/>
  <c r="N333" i="2" s="1"/>
  <c r="L333" i="2"/>
  <c r="M332" i="2" s="1"/>
  <c r="N332" i="2" s="1"/>
  <c r="L332" i="2"/>
  <c r="M331" i="2" s="1"/>
  <c r="N331" i="2" s="1"/>
  <c r="L331" i="2"/>
  <c r="M330" i="2" s="1"/>
  <c r="N330" i="2" s="1"/>
  <c r="L330" i="2"/>
  <c r="M329" i="2" s="1"/>
  <c r="N329" i="2" s="1"/>
  <c r="L329" i="2"/>
  <c r="M328" i="2" s="1"/>
  <c r="N328" i="2" s="1"/>
  <c r="L328" i="2"/>
  <c r="M327" i="2" s="1"/>
  <c r="L327" i="2"/>
  <c r="M326" i="2" s="1"/>
  <c r="N326" i="2" s="1"/>
  <c r="L326" i="2"/>
  <c r="M325" i="2" s="1"/>
  <c r="N325" i="2" s="1"/>
  <c r="L325" i="2"/>
  <c r="M324" i="2" s="1"/>
  <c r="N324" i="2" s="1"/>
  <c r="L324" i="2"/>
  <c r="M323" i="2" s="1"/>
  <c r="N323" i="2" s="1"/>
  <c r="L323" i="2"/>
  <c r="M322" i="2" s="1"/>
  <c r="N322" i="2" s="1"/>
  <c r="L322" i="2"/>
  <c r="M321" i="2" s="1"/>
  <c r="N321" i="2" s="1"/>
  <c r="L321" i="2"/>
  <c r="M320" i="2" s="1"/>
  <c r="N320" i="2" s="1"/>
  <c r="L320" i="2"/>
  <c r="M319" i="2" s="1"/>
  <c r="L319" i="2"/>
  <c r="M318" i="2" s="1"/>
  <c r="N318" i="2" s="1"/>
  <c r="L318" i="2"/>
  <c r="M317" i="2" s="1"/>
  <c r="N317" i="2" s="1"/>
  <c r="L317" i="2"/>
  <c r="M316" i="2" s="1"/>
  <c r="N316" i="2" s="1"/>
  <c r="L316" i="2"/>
  <c r="M315" i="2" s="1"/>
  <c r="N315" i="2" s="1"/>
  <c r="L315" i="2"/>
  <c r="M314" i="2" s="1"/>
  <c r="N314" i="2" s="1"/>
  <c r="L314" i="2"/>
  <c r="M313" i="2" s="1"/>
  <c r="N313" i="2" s="1"/>
  <c r="L313" i="2"/>
  <c r="M312" i="2" s="1"/>
  <c r="N312" i="2" s="1"/>
  <c r="L312" i="2"/>
  <c r="M311" i="2" s="1"/>
  <c r="N311" i="2" s="1"/>
  <c r="L311" i="2"/>
  <c r="M310" i="2" s="1"/>
  <c r="N310" i="2" s="1"/>
  <c r="L310" i="2"/>
  <c r="M309" i="2" s="1"/>
  <c r="N309" i="2" s="1"/>
  <c r="L309" i="2"/>
  <c r="M308" i="2" s="1"/>
  <c r="N308" i="2" s="1"/>
  <c r="L308" i="2"/>
  <c r="M307" i="2" s="1"/>
  <c r="N307" i="2" s="1"/>
  <c r="L307" i="2"/>
  <c r="M306" i="2" s="1"/>
  <c r="N306" i="2" s="1"/>
  <c r="L306" i="2"/>
  <c r="M305" i="2" s="1"/>
  <c r="N305" i="2" s="1"/>
  <c r="L305" i="2"/>
  <c r="M304" i="2" s="1"/>
  <c r="N304" i="2" s="1"/>
  <c r="L304" i="2"/>
  <c r="M303" i="2" s="1"/>
  <c r="L303" i="2"/>
  <c r="M302" i="2" s="1"/>
  <c r="N302" i="2" s="1"/>
  <c r="L302" i="2"/>
  <c r="M301" i="2" s="1"/>
  <c r="N301" i="2" s="1"/>
  <c r="L301" i="2"/>
  <c r="M300" i="2" s="1"/>
  <c r="N300" i="2" s="1"/>
  <c r="L300" i="2"/>
  <c r="M299" i="2" s="1"/>
  <c r="N299" i="2" s="1"/>
  <c r="L299" i="2"/>
  <c r="M298" i="2" s="1"/>
  <c r="N298" i="2" s="1"/>
  <c r="L298" i="2"/>
  <c r="M297" i="2" s="1"/>
  <c r="N297" i="2" s="1"/>
  <c r="L297" i="2"/>
  <c r="M296" i="2" s="1"/>
  <c r="N296" i="2" s="1"/>
  <c r="L296" i="2"/>
  <c r="M295" i="2" s="1"/>
  <c r="L295" i="2"/>
  <c r="M294" i="2" s="1"/>
  <c r="N294" i="2" s="1"/>
  <c r="L294" i="2"/>
  <c r="M293" i="2" s="1"/>
  <c r="N293" i="2" s="1"/>
  <c r="L293" i="2"/>
  <c r="M292" i="2" s="1"/>
  <c r="N292" i="2" s="1"/>
  <c r="L292" i="2"/>
  <c r="M291" i="2" s="1"/>
  <c r="N291" i="2" s="1"/>
  <c r="L291" i="2"/>
  <c r="M290" i="2" s="1"/>
  <c r="N290" i="2" s="1"/>
  <c r="L290" i="2"/>
  <c r="M289" i="2" s="1"/>
  <c r="N289" i="2" s="1"/>
  <c r="L289" i="2"/>
  <c r="M288" i="2" s="1"/>
  <c r="N288" i="2" s="1"/>
  <c r="L288" i="2"/>
  <c r="M287" i="2" s="1"/>
  <c r="L287" i="2"/>
  <c r="M286" i="2" s="1"/>
  <c r="N286" i="2" s="1"/>
  <c r="L286" i="2"/>
  <c r="M285" i="2" s="1"/>
  <c r="N285" i="2" s="1"/>
  <c r="L285" i="2"/>
  <c r="M284" i="2" s="1"/>
  <c r="N284" i="2" s="1"/>
  <c r="L284" i="2"/>
  <c r="M283" i="2" s="1"/>
  <c r="N283" i="2" s="1"/>
  <c r="L283" i="2"/>
  <c r="M282" i="2" s="1"/>
  <c r="N282" i="2" s="1"/>
  <c r="L282" i="2"/>
  <c r="M281" i="2" s="1"/>
  <c r="N281" i="2" s="1"/>
  <c r="L281" i="2"/>
  <c r="M280" i="2" s="1"/>
  <c r="N280" i="2" s="1"/>
  <c r="L280" i="2"/>
  <c r="M279" i="2" s="1"/>
  <c r="N279" i="2" s="1"/>
  <c r="L279" i="2"/>
  <c r="M278" i="2" s="1"/>
  <c r="N278" i="2" s="1"/>
  <c r="L278" i="2"/>
  <c r="M277" i="2" s="1"/>
  <c r="N277" i="2" s="1"/>
  <c r="L277" i="2"/>
  <c r="M276" i="2" s="1"/>
  <c r="N276" i="2" s="1"/>
  <c r="L276" i="2"/>
  <c r="M275" i="2" s="1"/>
  <c r="N275" i="2" s="1"/>
  <c r="L275" i="2"/>
  <c r="M274" i="2" s="1"/>
  <c r="N274" i="2" s="1"/>
  <c r="L274" i="2"/>
  <c r="M273" i="2" s="1"/>
  <c r="N273" i="2" s="1"/>
  <c r="L273" i="2"/>
  <c r="M272" i="2" s="1"/>
  <c r="N272" i="2" s="1"/>
  <c r="L272" i="2"/>
  <c r="M271" i="2" s="1"/>
  <c r="L271" i="2"/>
  <c r="M270" i="2" s="1"/>
  <c r="N270" i="2" s="1"/>
  <c r="L270" i="2"/>
  <c r="M269" i="2" s="1"/>
  <c r="N269" i="2" s="1"/>
  <c r="L269" i="2"/>
  <c r="M268" i="2" s="1"/>
  <c r="N268" i="2" s="1"/>
  <c r="L268" i="2"/>
  <c r="M267" i="2" s="1"/>
  <c r="N267" i="2" s="1"/>
  <c r="L267" i="2"/>
  <c r="M266" i="2" s="1"/>
  <c r="N266" i="2" s="1"/>
  <c r="L266" i="2"/>
  <c r="M265" i="2" s="1"/>
  <c r="N265" i="2" s="1"/>
  <c r="L265" i="2"/>
  <c r="M264" i="2" s="1"/>
  <c r="N264" i="2" s="1"/>
  <c r="L264" i="2"/>
  <c r="M263" i="2" s="1"/>
  <c r="L263" i="2"/>
  <c r="M262" i="2" s="1"/>
  <c r="N262" i="2" s="1"/>
  <c r="L262" i="2"/>
  <c r="M261" i="2" s="1"/>
  <c r="N261" i="2" s="1"/>
  <c r="L261" i="2"/>
  <c r="M260" i="2" s="1"/>
  <c r="N260" i="2" s="1"/>
  <c r="L260" i="2"/>
  <c r="M259" i="2" s="1"/>
  <c r="N259" i="2" s="1"/>
  <c r="L259" i="2"/>
  <c r="M258" i="2" s="1"/>
  <c r="N258" i="2" s="1"/>
  <c r="L258" i="2"/>
  <c r="M257" i="2" s="1"/>
  <c r="N257" i="2" s="1"/>
  <c r="L257" i="2"/>
  <c r="M256" i="2" s="1"/>
  <c r="N256" i="2" s="1"/>
  <c r="L256" i="2"/>
  <c r="M255" i="2" s="1"/>
  <c r="L255" i="2"/>
  <c r="M254" i="2" s="1"/>
  <c r="N254" i="2" s="1"/>
  <c r="L254" i="2"/>
  <c r="M253" i="2" s="1"/>
  <c r="N253" i="2" s="1"/>
  <c r="L253" i="2"/>
  <c r="M252" i="2" s="1"/>
  <c r="N252" i="2" s="1"/>
  <c r="L252" i="2"/>
  <c r="M251" i="2" s="1"/>
  <c r="N251" i="2" s="1"/>
  <c r="L251" i="2"/>
  <c r="M250" i="2" s="1"/>
  <c r="N250" i="2" s="1"/>
  <c r="L250" i="2"/>
  <c r="M249" i="2" s="1"/>
  <c r="N249" i="2" s="1"/>
  <c r="L249" i="2"/>
  <c r="M248" i="2" s="1"/>
  <c r="N248" i="2" s="1"/>
  <c r="L248" i="2"/>
  <c r="M247" i="2" s="1"/>
  <c r="N247" i="2" s="1"/>
  <c r="L247" i="2"/>
  <c r="M246" i="2" s="1"/>
  <c r="N246" i="2" s="1"/>
  <c r="L246" i="2"/>
  <c r="M245" i="2" s="1"/>
  <c r="N245" i="2" s="1"/>
  <c r="L245" i="2"/>
  <c r="M244" i="2" s="1"/>
  <c r="N244" i="2" s="1"/>
  <c r="L244" i="2"/>
  <c r="M243" i="2" s="1"/>
  <c r="N243" i="2" s="1"/>
  <c r="L243" i="2"/>
  <c r="M242" i="2" s="1"/>
  <c r="N242" i="2" s="1"/>
  <c r="L242" i="2"/>
  <c r="M241" i="2" s="1"/>
  <c r="N241" i="2" s="1"/>
  <c r="L241" i="2"/>
  <c r="M240" i="2" s="1"/>
  <c r="N240" i="2" s="1"/>
  <c r="L240" i="2"/>
  <c r="M239" i="2" s="1"/>
  <c r="L239" i="2"/>
  <c r="M238" i="2" s="1"/>
  <c r="N238" i="2" s="1"/>
  <c r="L238" i="2"/>
  <c r="M237" i="2" s="1"/>
  <c r="N237" i="2" s="1"/>
  <c r="L237" i="2"/>
  <c r="M236" i="2" s="1"/>
  <c r="N236" i="2" s="1"/>
  <c r="L236" i="2"/>
  <c r="M235" i="2" s="1"/>
  <c r="N235" i="2" s="1"/>
  <c r="L235" i="2"/>
  <c r="M234" i="2" s="1"/>
  <c r="N234" i="2" s="1"/>
  <c r="L234" i="2"/>
  <c r="M233" i="2" s="1"/>
  <c r="N233" i="2" s="1"/>
  <c r="L233" i="2"/>
  <c r="M232" i="2" s="1"/>
  <c r="N232" i="2" s="1"/>
  <c r="L232" i="2"/>
  <c r="M231" i="2" s="1"/>
  <c r="L231" i="2"/>
  <c r="M230" i="2" s="1"/>
  <c r="N230" i="2" s="1"/>
  <c r="L230" i="2"/>
  <c r="M229" i="2" s="1"/>
  <c r="N229" i="2" s="1"/>
  <c r="L229" i="2"/>
  <c r="M228" i="2" s="1"/>
  <c r="N228" i="2" s="1"/>
  <c r="L228" i="2"/>
  <c r="M227" i="2" s="1"/>
  <c r="N227" i="2" s="1"/>
  <c r="L227" i="2"/>
  <c r="M226" i="2" s="1"/>
  <c r="N226" i="2" s="1"/>
  <c r="L226" i="2"/>
  <c r="M225" i="2" s="1"/>
  <c r="N225" i="2" s="1"/>
  <c r="L225" i="2"/>
  <c r="M224" i="2" s="1"/>
  <c r="N224" i="2" s="1"/>
  <c r="L224" i="2"/>
  <c r="M223" i="2" s="1"/>
  <c r="L223" i="2"/>
  <c r="M222" i="2" s="1"/>
  <c r="N222" i="2" s="1"/>
  <c r="L222" i="2"/>
  <c r="M221" i="2" s="1"/>
  <c r="N221" i="2" s="1"/>
  <c r="L221" i="2"/>
  <c r="M220" i="2" s="1"/>
  <c r="N220" i="2" s="1"/>
  <c r="L220" i="2"/>
  <c r="M219" i="2" s="1"/>
  <c r="N219" i="2" s="1"/>
  <c r="L219" i="2"/>
  <c r="M218" i="2" s="1"/>
  <c r="N218" i="2" s="1"/>
  <c r="L218" i="2"/>
  <c r="M217" i="2" s="1"/>
  <c r="N217" i="2" s="1"/>
  <c r="L217" i="2"/>
  <c r="M216" i="2" s="1"/>
  <c r="N216" i="2" s="1"/>
  <c r="L216" i="2"/>
  <c r="M215" i="2" s="1"/>
  <c r="N215" i="2" s="1"/>
  <c r="L215" i="2"/>
  <c r="M214" i="2" s="1"/>
  <c r="N214" i="2" s="1"/>
  <c r="L214" i="2"/>
  <c r="M213" i="2" s="1"/>
  <c r="N213" i="2" s="1"/>
  <c r="L213" i="2"/>
  <c r="M212" i="2" s="1"/>
  <c r="N212" i="2" s="1"/>
  <c r="L212" i="2"/>
  <c r="M211" i="2" s="1"/>
  <c r="N211" i="2" s="1"/>
  <c r="L211" i="2"/>
  <c r="M210" i="2" s="1"/>
  <c r="N210" i="2" s="1"/>
  <c r="L210" i="2"/>
  <c r="M209" i="2" s="1"/>
  <c r="N209" i="2" s="1"/>
  <c r="L209" i="2"/>
  <c r="M208" i="2" s="1"/>
  <c r="N208" i="2" s="1"/>
  <c r="L208" i="2"/>
  <c r="M207" i="2" s="1"/>
  <c r="L207" i="2"/>
  <c r="M206" i="2" s="1"/>
  <c r="N206" i="2" s="1"/>
  <c r="L206" i="2"/>
  <c r="M205" i="2" s="1"/>
  <c r="N205" i="2" s="1"/>
  <c r="L205" i="2"/>
  <c r="M204" i="2" s="1"/>
  <c r="N204" i="2" s="1"/>
  <c r="L204" i="2"/>
  <c r="M203" i="2" s="1"/>
  <c r="N203" i="2" s="1"/>
  <c r="L203" i="2"/>
  <c r="M202" i="2" s="1"/>
  <c r="N202" i="2" s="1"/>
  <c r="L202" i="2"/>
  <c r="M201" i="2" s="1"/>
  <c r="N201" i="2" s="1"/>
  <c r="L201" i="2"/>
  <c r="M200" i="2" s="1"/>
  <c r="N200" i="2" s="1"/>
  <c r="L200" i="2"/>
  <c r="M199" i="2" s="1"/>
  <c r="L199" i="2"/>
  <c r="M198" i="2" s="1"/>
  <c r="N198" i="2" s="1"/>
  <c r="L198" i="2"/>
  <c r="M197" i="2" s="1"/>
  <c r="N197" i="2" s="1"/>
  <c r="L197" i="2"/>
  <c r="M196" i="2" s="1"/>
  <c r="N196" i="2" s="1"/>
  <c r="L196" i="2"/>
  <c r="M195" i="2" s="1"/>
  <c r="N195" i="2" s="1"/>
  <c r="L195" i="2"/>
  <c r="M194" i="2" s="1"/>
  <c r="N194" i="2" s="1"/>
  <c r="L194" i="2"/>
  <c r="M193" i="2" s="1"/>
  <c r="N193" i="2" s="1"/>
  <c r="L193" i="2"/>
  <c r="M192" i="2" s="1"/>
  <c r="N192" i="2" s="1"/>
  <c r="L192" i="2"/>
  <c r="M191" i="2" s="1"/>
  <c r="L191" i="2"/>
  <c r="M190" i="2" s="1"/>
  <c r="N190" i="2" s="1"/>
  <c r="L190" i="2"/>
  <c r="M189" i="2" s="1"/>
  <c r="N189" i="2" s="1"/>
  <c r="L189" i="2"/>
  <c r="M188" i="2" s="1"/>
  <c r="N188" i="2" s="1"/>
  <c r="L188" i="2"/>
  <c r="M187" i="2" s="1"/>
  <c r="N187" i="2" s="1"/>
  <c r="L187" i="2"/>
  <c r="M186" i="2" s="1"/>
  <c r="N186" i="2" s="1"/>
  <c r="L186" i="2"/>
  <c r="M185" i="2" s="1"/>
  <c r="N185" i="2" s="1"/>
  <c r="L185" i="2"/>
  <c r="M184" i="2" s="1"/>
  <c r="N184" i="2" s="1"/>
  <c r="L184" i="2"/>
  <c r="M183" i="2" s="1"/>
  <c r="N183" i="2" s="1"/>
  <c r="L183" i="2"/>
  <c r="M182" i="2" s="1"/>
  <c r="N182" i="2" s="1"/>
  <c r="L182" i="2"/>
  <c r="M181" i="2" s="1"/>
  <c r="N181" i="2" s="1"/>
  <c r="L181" i="2"/>
  <c r="M180" i="2" s="1"/>
  <c r="N180" i="2" s="1"/>
  <c r="L180" i="2"/>
  <c r="M179" i="2" s="1"/>
  <c r="N179" i="2" s="1"/>
  <c r="L179" i="2"/>
  <c r="M178" i="2" s="1"/>
  <c r="N178" i="2" s="1"/>
  <c r="L178" i="2"/>
  <c r="M177" i="2" s="1"/>
  <c r="N177" i="2" s="1"/>
  <c r="L177" i="2"/>
  <c r="M176" i="2" s="1"/>
  <c r="N176" i="2" s="1"/>
  <c r="L176" i="2"/>
  <c r="M175" i="2" s="1"/>
  <c r="L175" i="2"/>
  <c r="M174" i="2" s="1"/>
  <c r="N174" i="2" s="1"/>
  <c r="L174" i="2"/>
  <c r="M173" i="2" s="1"/>
  <c r="N173" i="2" s="1"/>
  <c r="L173" i="2"/>
  <c r="M172" i="2" s="1"/>
  <c r="N172" i="2" s="1"/>
  <c r="L172" i="2"/>
  <c r="M171" i="2" s="1"/>
  <c r="N171" i="2" s="1"/>
  <c r="L171" i="2"/>
  <c r="M170" i="2" s="1"/>
  <c r="N170" i="2" s="1"/>
  <c r="L170" i="2"/>
  <c r="M169" i="2" s="1"/>
  <c r="N169" i="2" s="1"/>
  <c r="L169" i="2"/>
  <c r="M168" i="2" s="1"/>
  <c r="N168" i="2" s="1"/>
  <c r="L168" i="2"/>
  <c r="M167" i="2" s="1"/>
  <c r="L167" i="2"/>
  <c r="M166" i="2" s="1"/>
  <c r="N166" i="2" s="1"/>
  <c r="L166" i="2"/>
  <c r="M165" i="2" s="1"/>
  <c r="N165" i="2" s="1"/>
  <c r="L165" i="2"/>
  <c r="M164" i="2" s="1"/>
  <c r="N164" i="2" s="1"/>
  <c r="L164" i="2"/>
  <c r="M163" i="2" s="1"/>
  <c r="N163" i="2" s="1"/>
  <c r="L163" i="2"/>
  <c r="M162" i="2" s="1"/>
  <c r="N162" i="2" s="1"/>
  <c r="L162" i="2"/>
  <c r="M161" i="2" s="1"/>
  <c r="N161" i="2" s="1"/>
  <c r="L161" i="2"/>
  <c r="M160" i="2" s="1"/>
  <c r="N160" i="2" s="1"/>
  <c r="L160" i="2"/>
  <c r="M159" i="2" s="1"/>
  <c r="L159" i="2"/>
  <c r="M158" i="2" s="1"/>
  <c r="N158" i="2" s="1"/>
  <c r="L158" i="2"/>
  <c r="M157" i="2" s="1"/>
  <c r="N157" i="2" s="1"/>
  <c r="L157" i="2"/>
  <c r="M156" i="2" s="1"/>
  <c r="N156" i="2" s="1"/>
  <c r="L156" i="2"/>
  <c r="M155" i="2" s="1"/>
  <c r="N155" i="2" s="1"/>
  <c r="L155" i="2"/>
  <c r="M154" i="2" s="1"/>
  <c r="N154" i="2" s="1"/>
  <c r="L154" i="2"/>
  <c r="M153" i="2" s="1"/>
  <c r="N153" i="2" s="1"/>
  <c r="L153" i="2"/>
  <c r="M152" i="2" s="1"/>
  <c r="N152" i="2" s="1"/>
  <c r="L152" i="2"/>
  <c r="M151" i="2" s="1"/>
  <c r="N151" i="2" s="1"/>
  <c r="L151" i="2"/>
  <c r="M150" i="2" s="1"/>
  <c r="N150" i="2" s="1"/>
  <c r="L150" i="2"/>
  <c r="M149" i="2" s="1"/>
  <c r="N149" i="2" s="1"/>
  <c r="L149" i="2"/>
  <c r="M148" i="2" s="1"/>
  <c r="N148" i="2" s="1"/>
  <c r="L148" i="2"/>
  <c r="M147" i="2" s="1"/>
  <c r="N147" i="2" s="1"/>
  <c r="L147" i="2"/>
  <c r="M146" i="2" s="1"/>
  <c r="N146" i="2" s="1"/>
  <c r="L146" i="2"/>
  <c r="M145" i="2" s="1"/>
  <c r="N145" i="2" s="1"/>
  <c r="L145" i="2"/>
  <c r="M144" i="2" s="1"/>
  <c r="N144" i="2" s="1"/>
  <c r="L144" i="2"/>
  <c r="M143" i="2" s="1"/>
  <c r="L143" i="2"/>
  <c r="M142" i="2" s="1"/>
  <c r="N142" i="2" s="1"/>
  <c r="L142" i="2"/>
  <c r="M141" i="2" s="1"/>
  <c r="N141" i="2" s="1"/>
  <c r="L141" i="2"/>
  <c r="M140" i="2" s="1"/>
  <c r="N140" i="2" s="1"/>
  <c r="L140" i="2"/>
  <c r="M139" i="2" s="1"/>
  <c r="N139" i="2" s="1"/>
  <c r="L139" i="2"/>
  <c r="M138" i="2" s="1"/>
  <c r="N138" i="2" s="1"/>
  <c r="L138" i="2"/>
  <c r="M137" i="2" s="1"/>
  <c r="N137" i="2" s="1"/>
  <c r="L137" i="2"/>
  <c r="M136" i="2" s="1"/>
  <c r="N136" i="2" s="1"/>
  <c r="L136" i="2"/>
  <c r="M135" i="2" s="1"/>
  <c r="L135" i="2"/>
  <c r="M134" i="2" s="1"/>
  <c r="N134" i="2" s="1"/>
  <c r="L134" i="2"/>
  <c r="M133" i="2" s="1"/>
  <c r="N133" i="2" s="1"/>
  <c r="L133" i="2"/>
  <c r="M132" i="2" s="1"/>
  <c r="N132" i="2" s="1"/>
  <c r="L132" i="2"/>
  <c r="M131" i="2" s="1"/>
  <c r="N131" i="2" s="1"/>
  <c r="L131" i="2"/>
  <c r="M130" i="2" s="1"/>
  <c r="N130" i="2" s="1"/>
  <c r="L130" i="2"/>
  <c r="M129" i="2" s="1"/>
  <c r="N129" i="2" s="1"/>
  <c r="L129" i="2"/>
  <c r="M128" i="2" s="1"/>
  <c r="N128" i="2" s="1"/>
  <c r="L128" i="2"/>
  <c r="M127" i="2" s="1"/>
  <c r="L127" i="2"/>
  <c r="M126" i="2" s="1"/>
  <c r="N126" i="2" s="1"/>
  <c r="L126" i="2"/>
  <c r="M125" i="2" s="1"/>
  <c r="N125" i="2" s="1"/>
  <c r="L125" i="2"/>
  <c r="M124" i="2" s="1"/>
  <c r="N124" i="2" s="1"/>
  <c r="L124" i="2"/>
  <c r="M123" i="2" s="1"/>
  <c r="N123" i="2" s="1"/>
  <c r="L123" i="2"/>
  <c r="M122" i="2" s="1"/>
  <c r="N122" i="2" s="1"/>
  <c r="L122" i="2"/>
  <c r="M121" i="2" s="1"/>
  <c r="N121" i="2" s="1"/>
  <c r="L121" i="2"/>
  <c r="M120" i="2" s="1"/>
  <c r="N120" i="2" s="1"/>
  <c r="L120" i="2"/>
  <c r="M119" i="2" s="1"/>
  <c r="N119" i="2" s="1"/>
  <c r="L119" i="2"/>
  <c r="M118" i="2" s="1"/>
  <c r="N118" i="2" s="1"/>
  <c r="L118" i="2"/>
  <c r="M117" i="2" s="1"/>
  <c r="N117" i="2" s="1"/>
  <c r="L117" i="2"/>
  <c r="M116" i="2" s="1"/>
  <c r="N116" i="2" s="1"/>
  <c r="L116" i="2"/>
  <c r="M115" i="2" s="1"/>
  <c r="N115" i="2" s="1"/>
  <c r="L115" i="2"/>
  <c r="M114" i="2" s="1"/>
  <c r="N114" i="2" s="1"/>
  <c r="L114" i="2"/>
  <c r="M113" i="2" s="1"/>
  <c r="N113" i="2" s="1"/>
  <c r="L113" i="2"/>
  <c r="M112" i="2" s="1"/>
  <c r="N112" i="2" s="1"/>
  <c r="L112" i="2"/>
  <c r="M111" i="2" s="1"/>
  <c r="L111" i="2"/>
  <c r="M110" i="2" s="1"/>
  <c r="N110" i="2" s="1"/>
  <c r="L110" i="2"/>
  <c r="M109" i="2" s="1"/>
  <c r="N109" i="2" s="1"/>
  <c r="L109" i="2"/>
  <c r="M108" i="2" s="1"/>
  <c r="N108" i="2" s="1"/>
  <c r="L108" i="2"/>
  <c r="M107" i="2" s="1"/>
  <c r="N107" i="2" s="1"/>
  <c r="L107" i="2"/>
  <c r="M106" i="2" s="1"/>
  <c r="L106" i="2"/>
  <c r="M105" i="2" s="1"/>
  <c r="L105" i="2"/>
  <c r="M104" i="2" s="1"/>
  <c r="L104" i="2"/>
  <c r="M103" i="2" s="1"/>
  <c r="N103" i="2" s="1"/>
  <c r="L103" i="2"/>
  <c r="M102" i="2" s="1"/>
  <c r="N102" i="2" s="1"/>
  <c r="L102" i="2"/>
  <c r="M101" i="2" s="1"/>
  <c r="N101" i="2" s="1"/>
  <c r="L101" i="2"/>
  <c r="M100" i="2" s="1"/>
  <c r="N100" i="2" s="1"/>
  <c r="L100" i="2"/>
  <c r="M99" i="2" s="1"/>
  <c r="N99" i="2" s="1"/>
  <c r="L99" i="2"/>
  <c r="M98" i="2" s="1"/>
  <c r="N98" i="2" s="1"/>
  <c r="L98" i="2"/>
  <c r="M97" i="2" s="1"/>
  <c r="N97" i="2" s="1"/>
  <c r="L97" i="2"/>
  <c r="M96" i="2" s="1"/>
  <c r="L96" i="2"/>
  <c r="M95" i="2" s="1"/>
  <c r="N95" i="2" s="1"/>
  <c r="L95" i="2"/>
  <c r="M94" i="2" s="1"/>
  <c r="N94" i="2" s="1"/>
  <c r="L94" i="2"/>
  <c r="M93" i="2" s="1"/>
  <c r="N93" i="2" s="1"/>
  <c r="L93" i="2"/>
  <c r="M92" i="2" s="1"/>
  <c r="N92" i="2" s="1"/>
  <c r="L92" i="2"/>
  <c r="M91" i="2" s="1"/>
  <c r="N91" i="2" s="1"/>
  <c r="L91" i="2"/>
  <c r="M90" i="2" s="1"/>
  <c r="N90" i="2" s="1"/>
  <c r="L90" i="2"/>
  <c r="M89" i="2" s="1"/>
  <c r="N89" i="2" s="1"/>
  <c r="L89" i="2"/>
  <c r="M88" i="2" s="1"/>
  <c r="N88" i="2" s="1"/>
  <c r="L88" i="2"/>
  <c r="M87" i="2" s="1"/>
  <c r="N87" i="2" s="1"/>
  <c r="L87" i="2"/>
  <c r="M86" i="2" s="1"/>
  <c r="N86" i="2" s="1"/>
  <c r="L86" i="2"/>
  <c r="M85" i="2" s="1"/>
  <c r="N85" i="2" s="1"/>
  <c r="L85" i="2"/>
  <c r="M84" i="2" s="1"/>
  <c r="N84" i="2" s="1"/>
  <c r="L84" i="2"/>
  <c r="M83" i="2" s="1"/>
  <c r="N83" i="2" s="1"/>
  <c r="L83" i="2"/>
  <c r="M82" i="2" s="1"/>
  <c r="N82" i="2" s="1"/>
  <c r="L82" i="2"/>
  <c r="M81" i="2" s="1"/>
  <c r="N81" i="2" s="1"/>
  <c r="L81" i="2"/>
  <c r="M80" i="2" s="1"/>
  <c r="L80" i="2"/>
  <c r="M79" i="2" s="1"/>
  <c r="N79" i="2" s="1"/>
  <c r="L79" i="2"/>
  <c r="M78" i="2" s="1"/>
  <c r="N78" i="2" s="1"/>
  <c r="L78" i="2"/>
  <c r="M77" i="2" s="1"/>
  <c r="N77" i="2" s="1"/>
  <c r="L77" i="2"/>
  <c r="M76" i="2" s="1"/>
  <c r="N76" i="2" s="1"/>
  <c r="L76" i="2"/>
  <c r="M75" i="2" s="1"/>
  <c r="N75" i="2" s="1"/>
  <c r="L75" i="2"/>
  <c r="M74" i="2" s="1"/>
  <c r="N74" i="2" s="1"/>
  <c r="L74" i="2"/>
  <c r="M73" i="2" s="1"/>
  <c r="N73" i="2" s="1"/>
  <c r="L73" i="2"/>
  <c r="M72" i="2" s="1"/>
  <c r="L72" i="2"/>
  <c r="M71" i="2" s="1"/>
  <c r="N71" i="2" s="1"/>
  <c r="L71" i="2"/>
  <c r="M70" i="2" s="1"/>
  <c r="N70" i="2" s="1"/>
  <c r="L70" i="2"/>
  <c r="M69" i="2" s="1"/>
  <c r="N69" i="2" s="1"/>
  <c r="L69" i="2"/>
  <c r="M68" i="2" s="1"/>
  <c r="N68" i="2" s="1"/>
  <c r="L68" i="2"/>
  <c r="M67" i="2" s="1"/>
  <c r="N67" i="2" s="1"/>
  <c r="L67" i="2"/>
  <c r="M66" i="2" s="1"/>
  <c r="N66" i="2" s="1"/>
  <c r="L66" i="2"/>
  <c r="M65" i="2" s="1"/>
  <c r="N65" i="2" s="1"/>
  <c r="L65" i="2"/>
  <c r="M64" i="2" s="1"/>
  <c r="L64" i="2"/>
  <c r="M63" i="2" s="1"/>
  <c r="N63" i="2" s="1"/>
  <c r="L63" i="2"/>
  <c r="M62" i="2" s="1"/>
  <c r="N62" i="2" s="1"/>
  <c r="L62" i="2"/>
  <c r="M61" i="2" s="1"/>
  <c r="N61" i="2" s="1"/>
  <c r="L61" i="2"/>
  <c r="M60" i="2" s="1"/>
  <c r="N60" i="2" s="1"/>
  <c r="L60" i="2"/>
  <c r="M59" i="2" s="1"/>
  <c r="N59" i="2" s="1"/>
  <c r="L59" i="2"/>
  <c r="M58" i="2" s="1"/>
  <c r="N58" i="2" s="1"/>
  <c r="L58" i="2"/>
  <c r="M57" i="2" s="1"/>
  <c r="N57" i="2" s="1"/>
  <c r="L57" i="2"/>
  <c r="M56" i="2" s="1"/>
  <c r="N56" i="2" s="1"/>
  <c r="L56" i="2"/>
  <c r="M55" i="2" s="1"/>
  <c r="N55" i="2" s="1"/>
  <c r="L55" i="2"/>
  <c r="M54" i="2" s="1"/>
  <c r="N54" i="2" s="1"/>
  <c r="L54" i="2"/>
  <c r="M53" i="2" s="1"/>
  <c r="N53" i="2" s="1"/>
  <c r="L53" i="2"/>
  <c r="M52" i="2" s="1"/>
  <c r="N52" i="2" s="1"/>
  <c r="L52" i="2"/>
  <c r="M51" i="2" s="1"/>
  <c r="N51" i="2" s="1"/>
  <c r="L51" i="2"/>
  <c r="M50" i="2" s="1"/>
  <c r="N50" i="2" s="1"/>
  <c r="L50" i="2"/>
  <c r="M49" i="2" s="1"/>
  <c r="N49" i="2" s="1"/>
  <c r="L49" i="2"/>
  <c r="M48" i="2" s="1"/>
  <c r="L48" i="2"/>
  <c r="M47" i="2" s="1"/>
  <c r="N47" i="2" s="1"/>
  <c r="L47" i="2"/>
  <c r="M46" i="2" s="1"/>
  <c r="N46" i="2" s="1"/>
  <c r="L46" i="2"/>
  <c r="M45" i="2" s="1"/>
  <c r="N45" i="2" s="1"/>
  <c r="L45" i="2"/>
  <c r="M44" i="2" s="1"/>
  <c r="N44" i="2" s="1"/>
  <c r="L44" i="2"/>
  <c r="M43" i="2" s="1"/>
  <c r="N43" i="2" s="1"/>
  <c r="L43" i="2"/>
  <c r="M42" i="2" s="1"/>
  <c r="N42" i="2" s="1"/>
  <c r="L42" i="2"/>
  <c r="M41" i="2" s="1"/>
  <c r="N41" i="2" s="1"/>
  <c r="L41" i="2"/>
  <c r="M40" i="2" s="1"/>
  <c r="L40" i="2"/>
  <c r="M39" i="2" s="1"/>
  <c r="N39" i="2" s="1"/>
  <c r="L39" i="2"/>
  <c r="M38" i="2" s="1"/>
  <c r="N38" i="2" s="1"/>
  <c r="L38" i="2"/>
  <c r="M37" i="2" s="1"/>
  <c r="N37" i="2" s="1"/>
  <c r="L37" i="2"/>
  <c r="M36" i="2" s="1"/>
  <c r="N36" i="2" s="1"/>
  <c r="L36" i="2"/>
  <c r="M35" i="2" s="1"/>
  <c r="N35" i="2" s="1"/>
  <c r="L35" i="2"/>
  <c r="M34" i="2" s="1"/>
  <c r="N34" i="2" s="1"/>
  <c r="L34" i="2"/>
  <c r="M33" i="2" s="1"/>
  <c r="N33" i="2" s="1"/>
  <c r="L33" i="2"/>
  <c r="M32" i="2" s="1"/>
  <c r="L32" i="2"/>
  <c r="M31" i="2" s="1"/>
  <c r="N31" i="2" s="1"/>
  <c r="L31" i="2"/>
  <c r="M30" i="2" s="1"/>
  <c r="N30" i="2" s="1"/>
  <c r="L30" i="2"/>
  <c r="M29" i="2" s="1"/>
  <c r="N29" i="2" s="1"/>
  <c r="L29" i="2"/>
  <c r="M28" i="2" s="1"/>
  <c r="N28" i="2" s="1"/>
  <c r="L28" i="2"/>
  <c r="M27" i="2" s="1"/>
  <c r="N27" i="2" s="1"/>
  <c r="L27" i="2"/>
  <c r="M26" i="2" s="1"/>
  <c r="N26" i="2" s="1"/>
  <c r="L26" i="2"/>
  <c r="M25" i="2" s="1"/>
  <c r="N25" i="2" s="1"/>
  <c r="L25" i="2"/>
  <c r="M24" i="2" s="1"/>
  <c r="N24" i="2" s="1"/>
  <c r="L24" i="2"/>
  <c r="M23" i="2" s="1"/>
  <c r="N23" i="2" s="1"/>
  <c r="L23" i="2"/>
  <c r="M22" i="2" s="1"/>
  <c r="N22" i="2" s="1"/>
  <c r="L22" i="2"/>
  <c r="M21" i="2" s="1"/>
  <c r="N21" i="2" s="1"/>
  <c r="L21" i="2"/>
  <c r="M20" i="2" s="1"/>
  <c r="N20" i="2" s="1"/>
  <c r="L20" i="2"/>
  <c r="M19" i="2" s="1"/>
  <c r="N19" i="2" s="1"/>
  <c r="L19" i="2"/>
  <c r="M18" i="2" s="1"/>
  <c r="N18" i="2" s="1"/>
  <c r="L18" i="2"/>
  <c r="M17" i="2" s="1"/>
  <c r="N17" i="2" s="1"/>
  <c r="L17" i="2"/>
  <c r="M16" i="2" s="1"/>
  <c r="N16" i="2" s="1"/>
  <c r="L16" i="2"/>
  <c r="M15" i="2" s="1"/>
  <c r="N15" i="2" s="1"/>
  <c r="L15" i="2"/>
  <c r="M14" i="2" s="1"/>
  <c r="N14" i="2" s="1"/>
  <c r="L14" i="2"/>
  <c r="M13" i="2" s="1"/>
  <c r="N13" i="2" s="1"/>
  <c r="L13" i="2"/>
  <c r="M12" i="2" s="1"/>
  <c r="N12" i="2" s="1"/>
  <c r="L12" i="2"/>
  <c r="M11" i="2" s="1"/>
  <c r="N11" i="2" s="1"/>
  <c r="L11" i="2"/>
  <c r="M10" i="2" s="1"/>
  <c r="N10" i="2" s="1"/>
  <c r="L10" i="2"/>
  <c r="M9" i="2" s="1"/>
  <c r="N9" i="2" s="1"/>
  <c r="L9" i="2"/>
  <c r="M8" i="2" s="1"/>
  <c r="N8" i="2" s="1"/>
  <c r="L8" i="2"/>
  <c r="M7" i="2" s="1"/>
  <c r="N7" i="2" s="1"/>
  <c r="L7" i="2"/>
  <c r="M6" i="2" s="1"/>
  <c r="N6" i="2" s="1"/>
  <c r="L6" i="2"/>
  <c r="M5" i="2" s="1"/>
  <c r="N5" i="2" s="1"/>
  <c r="L5" i="2"/>
  <c r="M4" i="2" s="1"/>
  <c r="N4" i="2" s="1"/>
  <c r="L4" i="2"/>
  <c r="L3" i="2"/>
  <c r="M2" i="2" s="1"/>
  <c r="N2" i="2" s="1"/>
  <c r="K3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O91" i="2" s="1"/>
  <c r="P91" i="2" s="1"/>
  <c r="K90" i="2"/>
  <c r="K89" i="2"/>
  <c r="K88" i="2"/>
  <c r="K87" i="2"/>
  <c r="K86" i="2"/>
  <c r="K85" i="2"/>
  <c r="K84" i="2"/>
  <c r="K83" i="2"/>
  <c r="O83" i="2" s="1"/>
  <c r="P83" i="2" s="1"/>
  <c r="K82" i="2"/>
  <c r="K81" i="2"/>
  <c r="K80" i="2"/>
  <c r="K79" i="2"/>
  <c r="K78" i="2"/>
  <c r="K77" i="2"/>
  <c r="K76" i="2"/>
  <c r="K75" i="2"/>
  <c r="O75" i="2" s="1"/>
  <c r="P75" i="2" s="1"/>
  <c r="K74" i="2"/>
  <c r="K73" i="2"/>
  <c r="K72" i="2"/>
  <c r="K71" i="2"/>
  <c r="K70" i="2"/>
  <c r="K69" i="2"/>
  <c r="K68" i="2"/>
  <c r="K67" i="2"/>
  <c r="O67" i="2" s="1"/>
  <c r="P67" i="2" s="1"/>
  <c r="K66" i="2"/>
  <c r="K65" i="2"/>
  <c r="K64" i="2"/>
  <c r="K63" i="2"/>
  <c r="K62" i="2"/>
  <c r="K61" i="2"/>
  <c r="K60" i="2"/>
  <c r="K59" i="2"/>
  <c r="O59" i="2" s="1"/>
  <c r="P59" i="2" s="1"/>
  <c r="K58" i="2"/>
  <c r="K57" i="2"/>
  <c r="K56" i="2"/>
  <c r="K55" i="2"/>
  <c r="K54" i="2"/>
  <c r="K53" i="2"/>
  <c r="K52" i="2"/>
  <c r="K51" i="2"/>
  <c r="O51" i="2" s="1"/>
  <c r="P51" i="2" s="1"/>
  <c r="K50" i="2"/>
  <c r="K49" i="2"/>
  <c r="K48" i="2"/>
  <c r="K47" i="2"/>
  <c r="K46" i="2"/>
  <c r="K45" i="2"/>
  <c r="K44" i="2"/>
  <c r="K43" i="2"/>
  <c r="O43" i="2" s="1"/>
  <c r="P43" i="2" s="1"/>
  <c r="K42" i="2"/>
  <c r="K41" i="2"/>
  <c r="K40" i="2"/>
  <c r="K39" i="2"/>
  <c r="K38" i="2"/>
  <c r="K37" i="2"/>
  <c r="K36" i="2"/>
  <c r="K35" i="2"/>
  <c r="O35" i="2" s="1"/>
  <c r="P35" i="2" s="1"/>
  <c r="K34" i="2"/>
  <c r="K33" i="2"/>
  <c r="K32" i="2"/>
  <c r="O32" i="2" s="1"/>
  <c r="P32" i="2" s="1"/>
  <c r="Q32" i="2" s="1"/>
  <c r="K31" i="2"/>
  <c r="K30" i="2"/>
  <c r="K29" i="2"/>
  <c r="K28" i="2"/>
  <c r="K27" i="2"/>
  <c r="K26" i="2"/>
  <c r="K25" i="2"/>
  <c r="K24" i="2"/>
  <c r="O24" i="2" s="1"/>
  <c r="P24" i="2" s="1"/>
  <c r="K23" i="2"/>
  <c r="K22" i="2"/>
  <c r="K21" i="2"/>
  <c r="K20" i="2"/>
  <c r="K19" i="2"/>
  <c r="K18" i="2"/>
  <c r="K17" i="2"/>
  <c r="K16" i="2"/>
  <c r="O16" i="2" s="1"/>
  <c r="P16" i="2" s="1"/>
  <c r="Q16" i="2" s="1"/>
  <c r="K15" i="2"/>
  <c r="K14" i="2"/>
  <c r="K13" i="2"/>
  <c r="K12" i="2"/>
  <c r="K11" i="2"/>
  <c r="K10" i="2"/>
  <c r="K9" i="2"/>
  <c r="K8" i="2"/>
  <c r="O8" i="2" s="1"/>
  <c r="P8" i="2" s="1"/>
  <c r="Q8" i="2" s="1"/>
  <c r="K7" i="2"/>
  <c r="K6" i="2"/>
  <c r="K5" i="2"/>
  <c r="K4" i="2"/>
  <c r="O513" i="2" l="1"/>
  <c r="P513" i="2" s="1"/>
  <c r="O521" i="2"/>
  <c r="P521" i="2" s="1"/>
  <c r="O529" i="2"/>
  <c r="P529" i="2" s="1"/>
  <c r="O537" i="2"/>
  <c r="P537" i="2" s="1"/>
  <c r="U537" i="2" s="1"/>
  <c r="O545" i="2"/>
  <c r="P545" i="2" s="1"/>
  <c r="U545" i="2" s="1"/>
  <c r="O178" i="2"/>
  <c r="P178" i="2" s="1"/>
  <c r="U178" i="2" s="1"/>
  <c r="O186" i="2"/>
  <c r="P186" i="2" s="1"/>
  <c r="Q186" i="2" s="1"/>
  <c r="V186" i="2" s="1"/>
  <c r="O194" i="2"/>
  <c r="P194" i="2" s="1"/>
  <c r="U194" i="2" s="1"/>
  <c r="O210" i="2"/>
  <c r="P210" i="2" s="1"/>
  <c r="O218" i="2"/>
  <c r="P218" i="2" s="1"/>
  <c r="Q218" i="2" s="1"/>
  <c r="V218" i="2" s="1"/>
  <c r="O242" i="2"/>
  <c r="P242" i="2" s="1"/>
  <c r="U242" i="2" s="1"/>
  <c r="O250" i="2"/>
  <c r="P250" i="2" s="1"/>
  <c r="U250" i="2" s="1"/>
  <c r="O258" i="2"/>
  <c r="P258" i="2" s="1"/>
  <c r="U258" i="2" s="1"/>
  <c r="O266" i="2"/>
  <c r="P266" i="2" s="1"/>
  <c r="U266" i="2" s="1"/>
  <c r="O274" i="2"/>
  <c r="P274" i="2" s="1"/>
  <c r="U274" i="2" s="1"/>
  <c r="O282" i="2"/>
  <c r="P282" i="2" s="1"/>
  <c r="U282" i="2" s="1"/>
  <c r="O290" i="2"/>
  <c r="P290" i="2" s="1"/>
  <c r="Q290" i="2" s="1"/>
  <c r="V290" i="2" s="1"/>
  <c r="O298" i="2"/>
  <c r="P298" i="2" s="1"/>
  <c r="U298" i="2" s="1"/>
  <c r="O306" i="2"/>
  <c r="P306" i="2" s="1"/>
  <c r="Q306" i="2" s="1"/>
  <c r="V306" i="2" s="1"/>
  <c r="O322" i="2"/>
  <c r="P322" i="2" s="1"/>
  <c r="U322" i="2" s="1"/>
  <c r="O330" i="2"/>
  <c r="P330" i="2" s="1"/>
  <c r="Q330" i="2" s="1"/>
  <c r="V330" i="2" s="1"/>
  <c r="O346" i="2"/>
  <c r="P346" i="2" s="1"/>
  <c r="U346" i="2" s="1"/>
  <c r="O354" i="2"/>
  <c r="P354" i="2" s="1"/>
  <c r="Q354" i="2" s="1"/>
  <c r="V354" i="2" s="1"/>
  <c r="O362" i="2"/>
  <c r="P362" i="2" s="1"/>
  <c r="U362" i="2" s="1"/>
  <c r="O370" i="2"/>
  <c r="P370" i="2" s="1"/>
  <c r="U370" i="2" s="1"/>
  <c r="O378" i="2"/>
  <c r="P378" i="2" s="1"/>
  <c r="Q378" i="2" s="1"/>
  <c r="V378" i="2" s="1"/>
  <c r="O386" i="2"/>
  <c r="P386" i="2" s="1"/>
  <c r="U386" i="2" s="1"/>
  <c r="O394" i="2"/>
  <c r="P394" i="2" s="1"/>
  <c r="U394" i="2" s="1"/>
  <c r="O402" i="2"/>
  <c r="P402" i="2" s="1"/>
  <c r="U402" i="2" s="1"/>
  <c r="O410" i="2"/>
  <c r="P410" i="2" s="1"/>
  <c r="Q410" i="2" s="1"/>
  <c r="V410" i="2" s="1"/>
  <c r="O418" i="2"/>
  <c r="P418" i="2" s="1"/>
  <c r="Q418" i="2" s="1"/>
  <c r="V418" i="2" s="1"/>
  <c r="O426" i="2"/>
  <c r="P426" i="2" s="1"/>
  <c r="U426" i="2" s="1"/>
  <c r="O434" i="2"/>
  <c r="P434" i="2" s="1"/>
  <c r="O442" i="2"/>
  <c r="P442" i="2" s="1"/>
  <c r="U442" i="2" s="1"/>
  <c r="O450" i="2"/>
  <c r="P450" i="2" s="1"/>
  <c r="U450" i="2" s="1"/>
  <c r="O458" i="2"/>
  <c r="P458" i="2" s="1"/>
  <c r="U458" i="2" s="1"/>
  <c r="O466" i="2"/>
  <c r="P466" i="2" s="1"/>
  <c r="U466" i="2" s="1"/>
  <c r="O474" i="2"/>
  <c r="P474" i="2" s="1"/>
  <c r="Q474" i="2" s="1"/>
  <c r="V474" i="2" s="1"/>
  <c r="O482" i="2"/>
  <c r="P482" i="2" s="1"/>
  <c r="U482" i="2" s="1"/>
  <c r="N499" i="2"/>
  <c r="M498" i="2"/>
  <c r="N498" i="2" s="1"/>
  <c r="N105" i="2"/>
  <c r="N106" i="2"/>
  <c r="O490" i="2"/>
  <c r="P490" i="2" s="1"/>
  <c r="U490" i="2" s="1"/>
  <c r="O99" i="2"/>
  <c r="P99" i="2" s="1"/>
  <c r="Q99" i="2" s="1"/>
  <c r="V99" i="2" s="1"/>
  <c r="T642" i="2"/>
  <c r="O553" i="2"/>
  <c r="P553" i="2" s="1"/>
  <c r="U553" i="2" s="1"/>
  <c r="O561" i="2"/>
  <c r="P561" i="2" s="1"/>
  <c r="U561" i="2" s="1"/>
  <c r="O569" i="2"/>
  <c r="P569" i="2" s="1"/>
  <c r="Q569" i="2" s="1"/>
  <c r="V569" i="2" s="1"/>
  <c r="O577" i="2"/>
  <c r="P577" i="2" s="1"/>
  <c r="U577" i="2" s="1"/>
  <c r="O585" i="2"/>
  <c r="P585" i="2" s="1"/>
  <c r="Q585" i="2" s="1"/>
  <c r="V585" i="2" s="1"/>
  <c r="O593" i="2"/>
  <c r="P593" i="2" s="1"/>
  <c r="U593" i="2" s="1"/>
  <c r="O601" i="2"/>
  <c r="P601" i="2" s="1"/>
  <c r="U601" i="2" s="1"/>
  <c r="O609" i="2"/>
  <c r="P609" i="2" s="1"/>
  <c r="U609" i="2" s="1"/>
  <c r="O617" i="2"/>
  <c r="P617" i="2" s="1"/>
  <c r="U617" i="2" s="1"/>
  <c r="O625" i="2"/>
  <c r="P625" i="2" s="1"/>
  <c r="Q625" i="2" s="1"/>
  <c r="V625" i="2" s="1"/>
  <c r="O633" i="2"/>
  <c r="P633" i="2" s="1"/>
  <c r="U633" i="2" s="1"/>
  <c r="V16" i="2"/>
  <c r="V8" i="2"/>
  <c r="O253" i="2"/>
  <c r="P253" i="2" s="1"/>
  <c r="U253" i="2" s="1"/>
  <c r="O269" i="2"/>
  <c r="P269" i="2" s="1"/>
  <c r="Q269" i="2" s="1"/>
  <c r="V269" i="2" s="1"/>
  <c r="O333" i="2"/>
  <c r="P333" i="2" s="1"/>
  <c r="U333" i="2" s="1"/>
  <c r="O381" i="2"/>
  <c r="P381" i="2" s="1"/>
  <c r="U381" i="2" s="1"/>
  <c r="O389" i="2"/>
  <c r="P389" i="2" s="1"/>
  <c r="Q389" i="2" s="1"/>
  <c r="V389" i="2" s="1"/>
  <c r="O397" i="2"/>
  <c r="P397" i="2" s="1"/>
  <c r="O405" i="2"/>
  <c r="P405" i="2" s="1"/>
  <c r="Q405" i="2" s="1"/>
  <c r="V405" i="2" s="1"/>
  <c r="O413" i="2"/>
  <c r="P413" i="2" s="1"/>
  <c r="Q413" i="2" s="1"/>
  <c r="V413" i="2" s="1"/>
  <c r="O421" i="2"/>
  <c r="P421" i="2" s="1"/>
  <c r="U421" i="2" s="1"/>
  <c r="O429" i="2"/>
  <c r="P429" i="2" s="1"/>
  <c r="U429" i="2" s="1"/>
  <c r="O437" i="2"/>
  <c r="P437" i="2" s="1"/>
  <c r="Q437" i="2" s="1"/>
  <c r="V437" i="2" s="1"/>
  <c r="O445" i="2"/>
  <c r="P445" i="2" s="1"/>
  <c r="Q445" i="2" s="1"/>
  <c r="V445" i="2" s="1"/>
  <c r="O453" i="2"/>
  <c r="P453" i="2" s="1"/>
  <c r="Q453" i="2" s="1"/>
  <c r="V453" i="2" s="1"/>
  <c r="O485" i="2"/>
  <c r="P485" i="2" s="1"/>
  <c r="Q485" i="2" s="1"/>
  <c r="V485" i="2" s="1"/>
  <c r="O493" i="2"/>
  <c r="P493" i="2" s="1"/>
  <c r="U493" i="2" s="1"/>
  <c r="O500" i="2"/>
  <c r="P500" i="2" s="1"/>
  <c r="U500" i="2" s="1"/>
  <c r="O516" i="2"/>
  <c r="P516" i="2" s="1"/>
  <c r="U516" i="2" s="1"/>
  <c r="O524" i="2"/>
  <c r="P524" i="2" s="1"/>
  <c r="U524" i="2" s="1"/>
  <c r="O532" i="2"/>
  <c r="P532" i="2" s="1"/>
  <c r="Q532" i="2" s="1"/>
  <c r="V532" i="2" s="1"/>
  <c r="O540" i="2"/>
  <c r="P540" i="2" s="1"/>
  <c r="U540" i="2" s="1"/>
  <c r="O564" i="2"/>
  <c r="P564" i="2" s="1"/>
  <c r="O572" i="2"/>
  <c r="P572" i="2" s="1"/>
  <c r="U572" i="2" s="1"/>
  <c r="O588" i="2"/>
  <c r="P588" i="2" s="1"/>
  <c r="U588" i="2" s="1"/>
  <c r="O612" i="2"/>
  <c r="P612" i="2" s="1"/>
  <c r="U612" i="2" s="1"/>
  <c r="O628" i="2"/>
  <c r="P628" i="2" s="1"/>
  <c r="Q628" i="2" s="1"/>
  <c r="V628" i="2" s="1"/>
  <c r="O9" i="2"/>
  <c r="P9" i="2" s="1"/>
  <c r="U9" i="2" s="1"/>
  <c r="O17" i="2"/>
  <c r="P17" i="2" s="1"/>
  <c r="Q17" i="2" s="1"/>
  <c r="V17" i="2" s="1"/>
  <c r="O25" i="2"/>
  <c r="P25" i="2" s="1"/>
  <c r="U25" i="2" s="1"/>
  <c r="O33" i="2"/>
  <c r="P33" i="2" s="1"/>
  <c r="Q33" i="2" s="1"/>
  <c r="V33" i="2" s="1"/>
  <c r="M3" i="2"/>
  <c r="N3" i="2" s="1"/>
  <c r="O317" i="2"/>
  <c r="P317" i="2" s="1"/>
  <c r="Q317" i="2" s="1"/>
  <c r="V317" i="2" s="1"/>
  <c r="O314" i="2"/>
  <c r="P314" i="2" s="1"/>
  <c r="U314" i="2" s="1"/>
  <c r="O309" i="2"/>
  <c r="P309" i="2" s="1"/>
  <c r="U309" i="2" s="1"/>
  <c r="O293" i="2"/>
  <c r="P293" i="2" s="1"/>
  <c r="U293" i="2" s="1"/>
  <c r="O301" i="2"/>
  <c r="P301" i="2" s="1"/>
  <c r="Q301" i="2" s="1"/>
  <c r="V301" i="2" s="1"/>
  <c r="O285" i="2"/>
  <c r="P285" i="2" s="1"/>
  <c r="U285" i="2" s="1"/>
  <c r="O357" i="2"/>
  <c r="P357" i="2" s="1"/>
  <c r="Q357" i="2" s="1"/>
  <c r="V357" i="2" s="1"/>
  <c r="O349" i="2"/>
  <c r="P349" i="2" s="1"/>
  <c r="U349" i="2" s="1"/>
  <c r="O341" i="2"/>
  <c r="P341" i="2" s="1"/>
  <c r="U341" i="2" s="1"/>
  <c r="O338" i="2"/>
  <c r="P338" i="2" s="1"/>
  <c r="O373" i="2"/>
  <c r="P373" i="2" s="1"/>
  <c r="Q373" i="2" s="1"/>
  <c r="V373" i="2" s="1"/>
  <c r="O365" i="2"/>
  <c r="P365" i="2" s="1"/>
  <c r="U365" i="2" s="1"/>
  <c r="O277" i="2"/>
  <c r="P277" i="2" s="1"/>
  <c r="U277" i="2" s="1"/>
  <c r="O636" i="2"/>
  <c r="P636" i="2" s="1"/>
  <c r="U636" i="2" s="1"/>
  <c r="O620" i="2"/>
  <c r="P620" i="2" s="1"/>
  <c r="U620" i="2" s="1"/>
  <c r="O604" i="2"/>
  <c r="P604" i="2" s="1"/>
  <c r="U604" i="2" s="1"/>
  <c r="O596" i="2"/>
  <c r="P596" i="2" s="1"/>
  <c r="U596" i="2" s="1"/>
  <c r="O580" i="2"/>
  <c r="P580" i="2" s="1"/>
  <c r="O556" i="2"/>
  <c r="P556" i="2" s="1"/>
  <c r="U556" i="2" s="1"/>
  <c r="O30" i="2"/>
  <c r="P30" i="2" s="1"/>
  <c r="U30" i="2" s="1"/>
  <c r="O181" i="2"/>
  <c r="P181" i="2" s="1"/>
  <c r="U181" i="2" s="1"/>
  <c r="O213" i="2"/>
  <c r="P213" i="2" s="1"/>
  <c r="U213" i="2" s="1"/>
  <c r="O229" i="2"/>
  <c r="P229" i="2" s="1"/>
  <c r="O237" i="2"/>
  <c r="P237" i="2" s="1"/>
  <c r="Q237" i="2" s="1"/>
  <c r="V237" i="2" s="1"/>
  <c r="O14" i="2"/>
  <c r="P14" i="2" s="1"/>
  <c r="U14" i="2" s="1"/>
  <c r="O62" i="2"/>
  <c r="P62" i="2" s="1"/>
  <c r="U62" i="2" s="1"/>
  <c r="O245" i="2"/>
  <c r="P245" i="2" s="1"/>
  <c r="U245" i="2" s="1"/>
  <c r="O6" i="2"/>
  <c r="P6" i="2" s="1"/>
  <c r="U6" i="2" s="1"/>
  <c r="O22" i="2"/>
  <c r="P22" i="2" s="1"/>
  <c r="Q22" i="2" s="1"/>
  <c r="V22" i="2" s="1"/>
  <c r="O221" i="2"/>
  <c r="P221" i="2" s="1"/>
  <c r="Q221" i="2" s="1"/>
  <c r="V221" i="2" s="1"/>
  <c r="O548" i="2"/>
  <c r="P548" i="2" s="1"/>
  <c r="U548" i="2" s="1"/>
  <c r="O508" i="2"/>
  <c r="P508" i="2" s="1"/>
  <c r="Q508" i="2" s="1"/>
  <c r="V508" i="2" s="1"/>
  <c r="O505" i="2"/>
  <c r="P505" i="2" s="1"/>
  <c r="U505" i="2" s="1"/>
  <c r="O477" i="2"/>
  <c r="P477" i="2" s="1"/>
  <c r="U477" i="2" s="1"/>
  <c r="O469" i="2"/>
  <c r="P469" i="2" s="1"/>
  <c r="Q469" i="2" s="1"/>
  <c r="V469" i="2" s="1"/>
  <c r="O461" i="2"/>
  <c r="P461" i="2" s="1"/>
  <c r="U461" i="2" s="1"/>
  <c r="O325" i="2"/>
  <c r="P325" i="2" s="1"/>
  <c r="U325" i="2" s="1"/>
  <c r="O261" i="2"/>
  <c r="P261" i="2" s="1"/>
  <c r="U261" i="2" s="1"/>
  <c r="O234" i="2"/>
  <c r="P234" i="2" s="1"/>
  <c r="U234" i="2" s="1"/>
  <c r="O226" i="2"/>
  <c r="P226" i="2" s="1"/>
  <c r="Q226" i="2" s="1"/>
  <c r="V226" i="2" s="1"/>
  <c r="O205" i="2"/>
  <c r="P205" i="2" s="1"/>
  <c r="U205" i="2" s="1"/>
  <c r="O202" i="2"/>
  <c r="P202" i="2" s="1"/>
  <c r="U202" i="2" s="1"/>
  <c r="O197" i="2"/>
  <c r="P197" i="2" s="1"/>
  <c r="U197" i="2" s="1"/>
  <c r="O189" i="2"/>
  <c r="P189" i="2" s="1"/>
  <c r="U189" i="2" s="1"/>
  <c r="O11" i="2"/>
  <c r="P11" i="2" s="1"/>
  <c r="U11" i="2" s="1"/>
  <c r="O19" i="2"/>
  <c r="P19" i="2" s="1"/>
  <c r="Q19" i="2" s="1"/>
  <c r="V19" i="2" s="1"/>
  <c r="O27" i="2"/>
  <c r="P27" i="2" s="1"/>
  <c r="U27" i="2" s="1"/>
  <c r="O4" i="2"/>
  <c r="P4" i="2" s="1"/>
  <c r="U4" i="2" s="1"/>
  <c r="O12" i="2"/>
  <c r="P12" i="2" s="1"/>
  <c r="U12" i="2" s="1"/>
  <c r="O20" i="2"/>
  <c r="P20" i="2" s="1"/>
  <c r="U20" i="2" s="1"/>
  <c r="O28" i="2"/>
  <c r="P28" i="2" s="1"/>
  <c r="U28" i="2" s="1"/>
  <c r="O36" i="2"/>
  <c r="P36" i="2" s="1"/>
  <c r="U36" i="2" s="1"/>
  <c r="O5" i="2"/>
  <c r="P5" i="2" s="1"/>
  <c r="U5" i="2" s="1"/>
  <c r="O13" i="2"/>
  <c r="P13" i="2" s="1"/>
  <c r="Q13" i="2" s="1"/>
  <c r="V13" i="2" s="1"/>
  <c r="O21" i="2"/>
  <c r="P21" i="2" s="1"/>
  <c r="O29" i="2"/>
  <c r="P29" i="2" s="1"/>
  <c r="U29" i="2" s="1"/>
  <c r="O37" i="2"/>
  <c r="P37" i="2" s="1"/>
  <c r="U37" i="2" s="1"/>
  <c r="O46" i="2"/>
  <c r="P46" i="2" s="1"/>
  <c r="U46" i="2" s="1"/>
  <c r="O54" i="2"/>
  <c r="P54" i="2" s="1"/>
  <c r="U54" i="2" s="1"/>
  <c r="O70" i="2"/>
  <c r="P70" i="2" s="1"/>
  <c r="U70" i="2" s="1"/>
  <c r="O78" i="2"/>
  <c r="P78" i="2" s="1"/>
  <c r="U78" i="2" s="1"/>
  <c r="O86" i="2"/>
  <c r="P86" i="2" s="1"/>
  <c r="U86" i="2" s="1"/>
  <c r="O94" i="2"/>
  <c r="P94" i="2" s="1"/>
  <c r="U94" i="2" s="1"/>
  <c r="O102" i="2"/>
  <c r="P102" i="2" s="1"/>
  <c r="Q102" i="2" s="1"/>
  <c r="V102" i="2" s="1"/>
  <c r="O38" i="2"/>
  <c r="P38" i="2" s="1"/>
  <c r="U38" i="2" s="1"/>
  <c r="O173" i="2"/>
  <c r="P173" i="2" s="1"/>
  <c r="Q173" i="2" s="1"/>
  <c r="V173" i="2" s="1"/>
  <c r="O165" i="2"/>
  <c r="P165" i="2" s="1"/>
  <c r="U165" i="2" s="1"/>
  <c r="O170" i="2"/>
  <c r="P170" i="2" s="1"/>
  <c r="U170" i="2" s="1"/>
  <c r="O162" i="2"/>
  <c r="P162" i="2" s="1"/>
  <c r="U162" i="2" s="1"/>
  <c r="O157" i="2"/>
  <c r="P157" i="2" s="1"/>
  <c r="U157" i="2" s="1"/>
  <c r="O154" i="2"/>
  <c r="P154" i="2" s="1"/>
  <c r="O149" i="2"/>
  <c r="P149" i="2" s="1"/>
  <c r="U149" i="2" s="1"/>
  <c r="O146" i="2"/>
  <c r="P146" i="2" s="1"/>
  <c r="U146" i="2" s="1"/>
  <c r="O141" i="2"/>
  <c r="P141" i="2" s="1"/>
  <c r="U141" i="2" s="1"/>
  <c r="O138" i="2"/>
  <c r="P138" i="2" s="1"/>
  <c r="U138" i="2" s="1"/>
  <c r="O133" i="2"/>
  <c r="P133" i="2" s="1"/>
  <c r="U133" i="2" s="1"/>
  <c r="O130" i="2"/>
  <c r="P130" i="2" s="1"/>
  <c r="U130" i="2" s="1"/>
  <c r="O125" i="2"/>
  <c r="P125" i="2" s="1"/>
  <c r="U125" i="2" s="1"/>
  <c r="O117" i="2"/>
  <c r="P117" i="2" s="1"/>
  <c r="Q117" i="2" s="1"/>
  <c r="V117" i="2" s="1"/>
  <c r="O122" i="2"/>
  <c r="P122" i="2" s="1"/>
  <c r="Q122" i="2" s="1"/>
  <c r="V122" i="2" s="1"/>
  <c r="O114" i="2"/>
  <c r="P114" i="2" s="1"/>
  <c r="U114" i="2" s="1"/>
  <c r="O109" i="2"/>
  <c r="P109" i="2" s="1"/>
  <c r="Q109" i="2" s="1"/>
  <c r="V109" i="2" s="1"/>
  <c r="O106" i="2"/>
  <c r="P106" i="2" s="1"/>
  <c r="Q106" i="2" s="1"/>
  <c r="U43" i="2"/>
  <c r="Q43" i="2"/>
  <c r="V43" i="2" s="1"/>
  <c r="U67" i="2"/>
  <c r="Q67" i="2"/>
  <c r="V67" i="2" s="1"/>
  <c r="U75" i="2"/>
  <c r="Q75" i="2"/>
  <c r="V75" i="2" s="1"/>
  <c r="U83" i="2"/>
  <c r="Q83" i="2"/>
  <c r="V83" i="2" s="1"/>
  <c r="U91" i="2"/>
  <c r="Q91" i="2"/>
  <c r="V91" i="2" s="1"/>
  <c r="U210" i="2"/>
  <c r="Q210" i="2"/>
  <c r="V210" i="2" s="1"/>
  <c r="U290" i="2"/>
  <c r="Q370" i="2"/>
  <c r="V370" i="2" s="1"/>
  <c r="U434" i="2"/>
  <c r="Q434" i="2"/>
  <c r="V434" i="2" s="1"/>
  <c r="Q537" i="2"/>
  <c r="V537" i="2" s="1"/>
  <c r="U569" i="2"/>
  <c r="U35" i="2"/>
  <c r="Q35" i="2"/>
  <c r="V35" i="2" s="1"/>
  <c r="U51" i="2"/>
  <c r="Q51" i="2"/>
  <c r="V51" i="2" s="1"/>
  <c r="U59" i="2"/>
  <c r="Q59" i="2"/>
  <c r="V59" i="2" s="1"/>
  <c r="U521" i="2"/>
  <c r="Q521" i="2"/>
  <c r="V521" i="2" s="1"/>
  <c r="Q545" i="2"/>
  <c r="V545" i="2" s="1"/>
  <c r="U24" i="2"/>
  <c r="Q24" i="2"/>
  <c r="V24" i="2" s="1"/>
  <c r="U529" i="2"/>
  <c r="Q529" i="2"/>
  <c r="V529" i="2" s="1"/>
  <c r="U513" i="2"/>
  <c r="Q513" i="2"/>
  <c r="V513" i="2" s="1"/>
  <c r="N639" i="2"/>
  <c r="N631" i="2"/>
  <c r="N623" i="2"/>
  <c r="N615" i="2"/>
  <c r="N607" i="2"/>
  <c r="N599" i="2"/>
  <c r="N591" i="2"/>
  <c r="N583" i="2"/>
  <c r="N558" i="2"/>
  <c r="N550" i="2"/>
  <c r="N542" i="2"/>
  <c r="N526" i="2"/>
  <c r="N518" i="2"/>
  <c r="N510" i="2"/>
  <c r="N495" i="2"/>
  <c r="N487" i="2"/>
  <c r="N479" i="2"/>
  <c r="N463" i="2"/>
  <c r="N455" i="2"/>
  <c r="N447" i="2"/>
  <c r="N431" i="2"/>
  <c r="N423" i="2"/>
  <c r="N415" i="2"/>
  <c r="N399" i="2"/>
  <c r="N391" i="2"/>
  <c r="N383" i="2"/>
  <c r="N367" i="2"/>
  <c r="N359" i="2"/>
  <c r="N351" i="2"/>
  <c r="N335" i="2"/>
  <c r="N327" i="2"/>
  <c r="N319" i="2"/>
  <c r="N303" i="2"/>
  <c r="N295" i="2"/>
  <c r="N287" i="2"/>
  <c r="N271" i="2"/>
  <c r="N263" i="2"/>
  <c r="N255" i="2"/>
  <c r="N239" i="2"/>
  <c r="N231" i="2"/>
  <c r="N223" i="2"/>
  <c r="N207" i="2"/>
  <c r="N199" i="2"/>
  <c r="N191" i="2"/>
  <c r="N175" i="2"/>
  <c r="N167" i="2"/>
  <c r="N159" i="2"/>
  <c r="N143" i="2"/>
  <c r="N135" i="2"/>
  <c r="N127" i="2"/>
  <c r="N111" i="2"/>
  <c r="N104" i="2"/>
  <c r="N96" i="2"/>
  <c r="N80" i="2"/>
  <c r="N72" i="2"/>
  <c r="N64" i="2"/>
  <c r="N48" i="2"/>
  <c r="N40" i="2"/>
  <c r="U32" i="2"/>
  <c r="N32" i="2"/>
  <c r="V32" i="2" s="1"/>
  <c r="U16" i="2"/>
  <c r="U8" i="2"/>
  <c r="O7" i="2"/>
  <c r="P7" i="2" s="1"/>
  <c r="O15" i="2"/>
  <c r="P15" i="2" s="1"/>
  <c r="O23" i="2"/>
  <c r="P23" i="2" s="1"/>
  <c r="O31" i="2"/>
  <c r="P31" i="2" s="1"/>
  <c r="O39" i="2"/>
  <c r="P39" i="2" s="1"/>
  <c r="O47" i="2"/>
  <c r="P47" i="2" s="1"/>
  <c r="O55" i="2"/>
  <c r="P55" i="2" s="1"/>
  <c r="O63" i="2"/>
  <c r="P63" i="2" s="1"/>
  <c r="O71" i="2"/>
  <c r="P71" i="2" s="1"/>
  <c r="O79" i="2"/>
  <c r="P79" i="2" s="1"/>
  <c r="O87" i="2"/>
  <c r="P87" i="2" s="1"/>
  <c r="O95" i="2"/>
  <c r="P95" i="2" s="1"/>
  <c r="O103" i="2"/>
  <c r="P103" i="2" s="1"/>
  <c r="O406" i="2"/>
  <c r="P406" i="2" s="1"/>
  <c r="O44" i="2"/>
  <c r="P44" i="2" s="1"/>
  <c r="O52" i="2"/>
  <c r="P52" i="2" s="1"/>
  <c r="O60" i="2"/>
  <c r="P60" i="2" s="1"/>
  <c r="O68" i="2"/>
  <c r="P68" i="2" s="1"/>
  <c r="O76" i="2"/>
  <c r="P76" i="2" s="1"/>
  <c r="O84" i="2"/>
  <c r="P84" i="2" s="1"/>
  <c r="O92" i="2"/>
  <c r="P92" i="2" s="1"/>
  <c r="O100" i="2"/>
  <c r="P100" i="2" s="1"/>
  <c r="O107" i="2"/>
  <c r="P107" i="2" s="1"/>
  <c r="O115" i="2"/>
  <c r="P115" i="2" s="1"/>
  <c r="O123" i="2"/>
  <c r="P123" i="2" s="1"/>
  <c r="O131" i="2"/>
  <c r="P131" i="2" s="1"/>
  <c r="O139" i="2"/>
  <c r="P139" i="2" s="1"/>
  <c r="O147" i="2"/>
  <c r="P147" i="2" s="1"/>
  <c r="O155" i="2"/>
  <c r="P155" i="2" s="1"/>
  <c r="O163" i="2"/>
  <c r="P163" i="2" s="1"/>
  <c r="O171" i="2"/>
  <c r="P171" i="2" s="1"/>
  <c r="O179" i="2"/>
  <c r="P179" i="2" s="1"/>
  <c r="O187" i="2"/>
  <c r="P187" i="2" s="1"/>
  <c r="O195" i="2"/>
  <c r="P195" i="2" s="1"/>
  <c r="O203" i="2"/>
  <c r="P203" i="2" s="1"/>
  <c r="O211" i="2"/>
  <c r="P211" i="2" s="1"/>
  <c r="O219" i="2"/>
  <c r="P219" i="2" s="1"/>
  <c r="O227" i="2"/>
  <c r="P227" i="2" s="1"/>
  <c r="O235" i="2"/>
  <c r="P235" i="2" s="1"/>
  <c r="O243" i="2"/>
  <c r="P243" i="2" s="1"/>
  <c r="O251" i="2"/>
  <c r="P251" i="2" s="1"/>
  <c r="O259" i="2"/>
  <c r="P259" i="2" s="1"/>
  <c r="O267" i="2"/>
  <c r="P267" i="2" s="1"/>
  <c r="O275" i="2"/>
  <c r="P275" i="2" s="1"/>
  <c r="O283" i="2"/>
  <c r="P283" i="2" s="1"/>
  <c r="O291" i="2"/>
  <c r="P291" i="2" s="1"/>
  <c r="O299" i="2"/>
  <c r="P299" i="2" s="1"/>
  <c r="O307" i="2"/>
  <c r="P307" i="2" s="1"/>
  <c r="O315" i="2"/>
  <c r="P315" i="2" s="1"/>
  <c r="O323" i="2"/>
  <c r="P323" i="2" s="1"/>
  <c r="O331" i="2"/>
  <c r="P331" i="2" s="1"/>
  <c r="O339" i="2"/>
  <c r="P339" i="2" s="1"/>
  <c r="O347" i="2"/>
  <c r="P347" i="2" s="1"/>
  <c r="O355" i="2"/>
  <c r="P355" i="2" s="1"/>
  <c r="O363" i="2"/>
  <c r="P363" i="2" s="1"/>
  <c r="O371" i="2"/>
  <c r="P371" i="2" s="1"/>
  <c r="O379" i="2"/>
  <c r="P379" i="2" s="1"/>
  <c r="O387" i="2"/>
  <c r="P387" i="2" s="1"/>
  <c r="O395" i="2"/>
  <c r="P395" i="2" s="1"/>
  <c r="O403" i="2"/>
  <c r="P403" i="2" s="1"/>
  <c r="O411" i="2"/>
  <c r="P411" i="2" s="1"/>
  <c r="O419" i="2"/>
  <c r="P419" i="2" s="1"/>
  <c r="O427" i="2"/>
  <c r="P427" i="2" s="1"/>
  <c r="O435" i="2"/>
  <c r="P435" i="2" s="1"/>
  <c r="O443" i="2"/>
  <c r="P443" i="2" s="1"/>
  <c r="O451" i="2"/>
  <c r="P451" i="2" s="1"/>
  <c r="O459" i="2"/>
  <c r="P459" i="2" s="1"/>
  <c r="O467" i="2"/>
  <c r="P467" i="2" s="1"/>
  <c r="O475" i="2"/>
  <c r="P475" i="2" s="1"/>
  <c r="O483" i="2"/>
  <c r="P483" i="2" s="1"/>
  <c r="O491" i="2"/>
  <c r="P491" i="2" s="1"/>
  <c r="O498" i="2"/>
  <c r="P498" i="2" s="1"/>
  <c r="O506" i="2"/>
  <c r="P506" i="2" s="1"/>
  <c r="O514" i="2"/>
  <c r="P514" i="2" s="1"/>
  <c r="O522" i="2"/>
  <c r="P522" i="2" s="1"/>
  <c r="O530" i="2"/>
  <c r="P530" i="2" s="1"/>
  <c r="O538" i="2"/>
  <c r="P538" i="2" s="1"/>
  <c r="O546" i="2"/>
  <c r="P546" i="2" s="1"/>
  <c r="O554" i="2"/>
  <c r="P554" i="2" s="1"/>
  <c r="O562" i="2"/>
  <c r="P562" i="2" s="1"/>
  <c r="O570" i="2"/>
  <c r="P570" i="2" s="1"/>
  <c r="O578" i="2"/>
  <c r="P578" i="2" s="1"/>
  <c r="O586" i="2"/>
  <c r="P586" i="2" s="1"/>
  <c r="O594" i="2"/>
  <c r="P594" i="2" s="1"/>
  <c r="O602" i="2"/>
  <c r="P602" i="2" s="1"/>
  <c r="O610" i="2"/>
  <c r="P610" i="2" s="1"/>
  <c r="O618" i="2"/>
  <c r="P618" i="2" s="1"/>
  <c r="O626" i="2"/>
  <c r="P626" i="2" s="1"/>
  <c r="O634" i="2"/>
  <c r="P634" i="2" s="1"/>
  <c r="O45" i="2"/>
  <c r="P45" i="2" s="1"/>
  <c r="O53" i="2"/>
  <c r="P53" i="2" s="1"/>
  <c r="O61" i="2"/>
  <c r="P61" i="2" s="1"/>
  <c r="O69" i="2"/>
  <c r="P69" i="2" s="1"/>
  <c r="O77" i="2"/>
  <c r="P77" i="2" s="1"/>
  <c r="O85" i="2"/>
  <c r="P85" i="2" s="1"/>
  <c r="O93" i="2"/>
  <c r="P93" i="2" s="1"/>
  <c r="O101" i="2"/>
  <c r="P101" i="2" s="1"/>
  <c r="O108" i="2"/>
  <c r="P108" i="2" s="1"/>
  <c r="O116" i="2"/>
  <c r="P116" i="2" s="1"/>
  <c r="O124" i="2"/>
  <c r="P124" i="2" s="1"/>
  <c r="O132" i="2"/>
  <c r="P132" i="2" s="1"/>
  <c r="O140" i="2"/>
  <c r="P140" i="2" s="1"/>
  <c r="O148" i="2"/>
  <c r="P148" i="2" s="1"/>
  <c r="O156" i="2"/>
  <c r="P156" i="2" s="1"/>
  <c r="O164" i="2"/>
  <c r="P164" i="2" s="1"/>
  <c r="O172" i="2"/>
  <c r="P172" i="2" s="1"/>
  <c r="O180" i="2"/>
  <c r="P180" i="2" s="1"/>
  <c r="O188" i="2"/>
  <c r="P188" i="2" s="1"/>
  <c r="O196" i="2"/>
  <c r="P196" i="2" s="1"/>
  <c r="O204" i="2"/>
  <c r="P204" i="2" s="1"/>
  <c r="O212" i="2"/>
  <c r="P212" i="2" s="1"/>
  <c r="O220" i="2"/>
  <c r="P220" i="2" s="1"/>
  <c r="O228" i="2"/>
  <c r="P228" i="2" s="1"/>
  <c r="O236" i="2"/>
  <c r="P236" i="2" s="1"/>
  <c r="O244" i="2"/>
  <c r="P244" i="2" s="1"/>
  <c r="O252" i="2"/>
  <c r="P252" i="2" s="1"/>
  <c r="O260" i="2"/>
  <c r="P260" i="2" s="1"/>
  <c r="O268" i="2"/>
  <c r="P268" i="2" s="1"/>
  <c r="O276" i="2"/>
  <c r="P276" i="2" s="1"/>
  <c r="O284" i="2"/>
  <c r="P284" i="2" s="1"/>
  <c r="O292" i="2"/>
  <c r="P292" i="2" s="1"/>
  <c r="O300" i="2"/>
  <c r="P300" i="2" s="1"/>
  <c r="O308" i="2"/>
  <c r="P308" i="2" s="1"/>
  <c r="O316" i="2"/>
  <c r="P316" i="2" s="1"/>
  <c r="O324" i="2"/>
  <c r="P324" i="2" s="1"/>
  <c r="O332" i="2"/>
  <c r="P332" i="2" s="1"/>
  <c r="O340" i="2"/>
  <c r="P340" i="2" s="1"/>
  <c r="O348" i="2"/>
  <c r="P348" i="2" s="1"/>
  <c r="O356" i="2"/>
  <c r="P356" i="2" s="1"/>
  <c r="O364" i="2"/>
  <c r="P364" i="2" s="1"/>
  <c r="O372" i="2"/>
  <c r="P372" i="2" s="1"/>
  <c r="O380" i="2"/>
  <c r="P380" i="2" s="1"/>
  <c r="O388" i="2"/>
  <c r="P388" i="2" s="1"/>
  <c r="O396" i="2"/>
  <c r="P396" i="2" s="1"/>
  <c r="O404" i="2"/>
  <c r="P404" i="2" s="1"/>
  <c r="O412" i="2"/>
  <c r="P412" i="2" s="1"/>
  <c r="O420" i="2"/>
  <c r="P420" i="2" s="1"/>
  <c r="O428" i="2"/>
  <c r="P428" i="2" s="1"/>
  <c r="O436" i="2"/>
  <c r="P436" i="2" s="1"/>
  <c r="O444" i="2"/>
  <c r="P444" i="2" s="1"/>
  <c r="O452" i="2"/>
  <c r="P452" i="2" s="1"/>
  <c r="O460" i="2"/>
  <c r="P460" i="2" s="1"/>
  <c r="O468" i="2"/>
  <c r="P468" i="2" s="1"/>
  <c r="O476" i="2"/>
  <c r="P476" i="2" s="1"/>
  <c r="O484" i="2"/>
  <c r="P484" i="2" s="1"/>
  <c r="O492" i="2"/>
  <c r="P492" i="2" s="1"/>
  <c r="O499" i="2"/>
  <c r="P499" i="2" s="1"/>
  <c r="O507" i="2"/>
  <c r="P507" i="2" s="1"/>
  <c r="O515" i="2"/>
  <c r="P515" i="2" s="1"/>
  <c r="O523" i="2"/>
  <c r="P523" i="2" s="1"/>
  <c r="O531" i="2"/>
  <c r="P531" i="2" s="1"/>
  <c r="O539" i="2"/>
  <c r="P539" i="2" s="1"/>
  <c r="O547" i="2"/>
  <c r="P547" i="2" s="1"/>
  <c r="O555" i="2"/>
  <c r="P555" i="2" s="1"/>
  <c r="O563" i="2"/>
  <c r="P563" i="2" s="1"/>
  <c r="O571" i="2"/>
  <c r="P571" i="2" s="1"/>
  <c r="O579" i="2"/>
  <c r="P579" i="2" s="1"/>
  <c r="O587" i="2"/>
  <c r="P587" i="2" s="1"/>
  <c r="O595" i="2"/>
  <c r="P595" i="2" s="1"/>
  <c r="O603" i="2"/>
  <c r="P603" i="2" s="1"/>
  <c r="O611" i="2"/>
  <c r="P611" i="2" s="1"/>
  <c r="O619" i="2"/>
  <c r="P619" i="2" s="1"/>
  <c r="O627" i="2"/>
  <c r="P627" i="2" s="1"/>
  <c r="O635" i="2"/>
  <c r="P635" i="2" s="1"/>
  <c r="O414" i="2"/>
  <c r="P414" i="2" s="1"/>
  <c r="O422" i="2"/>
  <c r="P422" i="2" s="1"/>
  <c r="O430" i="2"/>
  <c r="P430" i="2" s="1"/>
  <c r="O438" i="2"/>
  <c r="P438" i="2" s="1"/>
  <c r="O446" i="2"/>
  <c r="P446" i="2" s="1"/>
  <c r="O454" i="2"/>
  <c r="P454" i="2" s="1"/>
  <c r="O462" i="2"/>
  <c r="P462" i="2" s="1"/>
  <c r="O470" i="2"/>
  <c r="P470" i="2" s="1"/>
  <c r="O478" i="2"/>
  <c r="P478" i="2" s="1"/>
  <c r="O486" i="2"/>
  <c r="P486" i="2" s="1"/>
  <c r="O494" i="2"/>
  <c r="P494" i="2" s="1"/>
  <c r="O501" i="2"/>
  <c r="P501" i="2" s="1"/>
  <c r="O509" i="2"/>
  <c r="P509" i="2" s="1"/>
  <c r="O517" i="2"/>
  <c r="P517" i="2" s="1"/>
  <c r="O525" i="2"/>
  <c r="P525" i="2" s="1"/>
  <c r="O533" i="2"/>
  <c r="P533" i="2" s="1"/>
  <c r="O541" i="2"/>
  <c r="P541" i="2" s="1"/>
  <c r="O549" i="2"/>
  <c r="P549" i="2" s="1"/>
  <c r="O557" i="2"/>
  <c r="P557" i="2" s="1"/>
  <c r="O565" i="2"/>
  <c r="P565" i="2" s="1"/>
  <c r="O573" i="2"/>
  <c r="P573" i="2" s="1"/>
  <c r="O581" i="2"/>
  <c r="P581" i="2" s="1"/>
  <c r="O589" i="2"/>
  <c r="P589" i="2" s="1"/>
  <c r="O597" i="2"/>
  <c r="P597" i="2" s="1"/>
  <c r="O605" i="2"/>
  <c r="P605" i="2" s="1"/>
  <c r="O613" i="2"/>
  <c r="P613" i="2" s="1"/>
  <c r="O621" i="2"/>
  <c r="P621" i="2" s="1"/>
  <c r="O629" i="2"/>
  <c r="P629" i="2" s="1"/>
  <c r="O637" i="2"/>
  <c r="P637" i="2" s="1"/>
  <c r="O110" i="2"/>
  <c r="P110" i="2" s="1"/>
  <c r="O134" i="2"/>
  <c r="P134" i="2" s="1"/>
  <c r="O158" i="2"/>
  <c r="P158" i="2" s="1"/>
  <c r="O182" i="2"/>
  <c r="P182" i="2" s="1"/>
  <c r="O206" i="2"/>
  <c r="P206" i="2" s="1"/>
  <c r="O230" i="2"/>
  <c r="P230" i="2" s="1"/>
  <c r="O262" i="2"/>
  <c r="P262" i="2" s="1"/>
  <c r="O286" i="2"/>
  <c r="P286" i="2" s="1"/>
  <c r="O310" i="2"/>
  <c r="P310" i="2" s="1"/>
  <c r="O382" i="2"/>
  <c r="P382" i="2" s="1"/>
  <c r="O40" i="2"/>
  <c r="P40" i="2" s="1"/>
  <c r="Q40" i="2" s="1"/>
  <c r="O48" i="2"/>
  <c r="P48" i="2" s="1"/>
  <c r="Q48" i="2" s="1"/>
  <c r="O56" i="2"/>
  <c r="P56" i="2" s="1"/>
  <c r="O64" i="2"/>
  <c r="P64" i="2" s="1"/>
  <c r="Q64" i="2" s="1"/>
  <c r="O72" i="2"/>
  <c r="P72" i="2" s="1"/>
  <c r="Q72" i="2" s="1"/>
  <c r="O80" i="2"/>
  <c r="P80" i="2" s="1"/>
  <c r="Q80" i="2" s="1"/>
  <c r="O88" i="2"/>
  <c r="P88" i="2" s="1"/>
  <c r="O96" i="2"/>
  <c r="P96" i="2" s="1"/>
  <c r="Q96" i="2" s="1"/>
  <c r="O104" i="2"/>
  <c r="P104" i="2" s="1"/>
  <c r="Q104" i="2" s="1"/>
  <c r="O111" i="2"/>
  <c r="P111" i="2" s="1"/>
  <c r="Q111" i="2" s="1"/>
  <c r="O119" i="2"/>
  <c r="P119" i="2" s="1"/>
  <c r="O127" i="2"/>
  <c r="P127" i="2" s="1"/>
  <c r="Q127" i="2" s="1"/>
  <c r="O135" i="2"/>
  <c r="P135" i="2" s="1"/>
  <c r="Q135" i="2" s="1"/>
  <c r="O143" i="2"/>
  <c r="P143" i="2" s="1"/>
  <c r="Q143" i="2" s="1"/>
  <c r="O151" i="2"/>
  <c r="P151" i="2" s="1"/>
  <c r="O159" i="2"/>
  <c r="P159" i="2" s="1"/>
  <c r="Q159" i="2" s="1"/>
  <c r="O167" i="2"/>
  <c r="P167" i="2" s="1"/>
  <c r="Q167" i="2" s="1"/>
  <c r="O175" i="2"/>
  <c r="P175" i="2" s="1"/>
  <c r="Q175" i="2" s="1"/>
  <c r="O183" i="2"/>
  <c r="P183" i="2" s="1"/>
  <c r="O191" i="2"/>
  <c r="P191" i="2" s="1"/>
  <c r="Q191" i="2" s="1"/>
  <c r="O199" i="2"/>
  <c r="P199" i="2" s="1"/>
  <c r="Q199" i="2" s="1"/>
  <c r="O207" i="2"/>
  <c r="P207" i="2" s="1"/>
  <c r="Q207" i="2" s="1"/>
  <c r="O215" i="2"/>
  <c r="P215" i="2" s="1"/>
  <c r="O223" i="2"/>
  <c r="P223" i="2" s="1"/>
  <c r="Q223" i="2" s="1"/>
  <c r="O231" i="2"/>
  <c r="P231" i="2" s="1"/>
  <c r="Q231" i="2" s="1"/>
  <c r="O239" i="2"/>
  <c r="P239" i="2" s="1"/>
  <c r="Q239" i="2" s="1"/>
  <c r="O247" i="2"/>
  <c r="P247" i="2" s="1"/>
  <c r="O255" i="2"/>
  <c r="P255" i="2" s="1"/>
  <c r="Q255" i="2" s="1"/>
  <c r="O263" i="2"/>
  <c r="P263" i="2" s="1"/>
  <c r="Q263" i="2" s="1"/>
  <c r="O271" i="2"/>
  <c r="P271" i="2" s="1"/>
  <c r="Q271" i="2" s="1"/>
  <c r="O279" i="2"/>
  <c r="P279" i="2" s="1"/>
  <c r="O287" i="2"/>
  <c r="P287" i="2" s="1"/>
  <c r="Q287" i="2" s="1"/>
  <c r="O295" i="2"/>
  <c r="P295" i="2" s="1"/>
  <c r="Q295" i="2" s="1"/>
  <c r="O303" i="2"/>
  <c r="P303" i="2" s="1"/>
  <c r="Q303" i="2" s="1"/>
  <c r="O311" i="2"/>
  <c r="P311" i="2" s="1"/>
  <c r="O319" i="2"/>
  <c r="P319" i="2" s="1"/>
  <c r="Q319" i="2" s="1"/>
  <c r="O327" i="2"/>
  <c r="P327" i="2" s="1"/>
  <c r="Q327" i="2" s="1"/>
  <c r="O335" i="2"/>
  <c r="P335" i="2" s="1"/>
  <c r="Q335" i="2" s="1"/>
  <c r="O343" i="2"/>
  <c r="P343" i="2" s="1"/>
  <c r="O351" i="2"/>
  <c r="P351" i="2" s="1"/>
  <c r="Q351" i="2" s="1"/>
  <c r="O359" i="2"/>
  <c r="P359" i="2" s="1"/>
  <c r="Q359" i="2" s="1"/>
  <c r="O367" i="2"/>
  <c r="P367" i="2" s="1"/>
  <c r="Q367" i="2" s="1"/>
  <c r="O375" i="2"/>
  <c r="P375" i="2" s="1"/>
  <c r="O383" i="2"/>
  <c r="P383" i="2" s="1"/>
  <c r="Q383" i="2" s="1"/>
  <c r="O391" i="2"/>
  <c r="P391" i="2" s="1"/>
  <c r="Q391" i="2" s="1"/>
  <c r="O399" i="2"/>
  <c r="P399" i="2" s="1"/>
  <c r="Q399" i="2" s="1"/>
  <c r="O407" i="2"/>
  <c r="P407" i="2" s="1"/>
  <c r="O415" i="2"/>
  <c r="P415" i="2" s="1"/>
  <c r="Q415" i="2" s="1"/>
  <c r="O423" i="2"/>
  <c r="P423" i="2" s="1"/>
  <c r="Q423" i="2" s="1"/>
  <c r="O431" i="2"/>
  <c r="P431" i="2" s="1"/>
  <c r="Q431" i="2" s="1"/>
  <c r="O439" i="2"/>
  <c r="P439" i="2" s="1"/>
  <c r="O447" i="2"/>
  <c r="P447" i="2" s="1"/>
  <c r="Q447" i="2" s="1"/>
  <c r="O455" i="2"/>
  <c r="P455" i="2" s="1"/>
  <c r="Q455" i="2" s="1"/>
  <c r="O463" i="2"/>
  <c r="P463" i="2" s="1"/>
  <c r="Q463" i="2" s="1"/>
  <c r="O471" i="2"/>
  <c r="P471" i="2" s="1"/>
  <c r="O479" i="2"/>
  <c r="P479" i="2" s="1"/>
  <c r="Q479" i="2" s="1"/>
  <c r="O487" i="2"/>
  <c r="P487" i="2" s="1"/>
  <c r="Q487" i="2" s="1"/>
  <c r="O495" i="2"/>
  <c r="P495" i="2" s="1"/>
  <c r="Q495" i="2" s="1"/>
  <c r="O502" i="2"/>
  <c r="P502" i="2" s="1"/>
  <c r="O510" i="2"/>
  <c r="P510" i="2" s="1"/>
  <c r="Q510" i="2" s="1"/>
  <c r="O518" i="2"/>
  <c r="P518" i="2" s="1"/>
  <c r="Q518" i="2" s="1"/>
  <c r="O526" i="2"/>
  <c r="P526" i="2" s="1"/>
  <c r="Q526" i="2" s="1"/>
  <c r="O534" i="2"/>
  <c r="P534" i="2" s="1"/>
  <c r="O542" i="2"/>
  <c r="P542" i="2" s="1"/>
  <c r="Q542" i="2" s="1"/>
  <c r="O550" i="2"/>
  <c r="P550" i="2" s="1"/>
  <c r="Q550" i="2" s="1"/>
  <c r="O558" i="2"/>
  <c r="P558" i="2" s="1"/>
  <c r="Q558" i="2" s="1"/>
  <c r="O566" i="2"/>
  <c r="P566" i="2" s="1"/>
  <c r="O574" i="2"/>
  <c r="P574" i="2" s="1"/>
  <c r="Q574" i="2" s="1"/>
  <c r="V574" i="2" s="1"/>
  <c r="O582" i="2"/>
  <c r="P582" i="2" s="1"/>
  <c r="Q582" i="2" s="1"/>
  <c r="V582" i="2" s="1"/>
  <c r="O590" i="2"/>
  <c r="P590" i="2" s="1"/>
  <c r="Q590" i="2" s="1"/>
  <c r="V590" i="2" s="1"/>
  <c r="O598" i="2"/>
  <c r="P598" i="2" s="1"/>
  <c r="O606" i="2"/>
  <c r="P606" i="2" s="1"/>
  <c r="Q606" i="2" s="1"/>
  <c r="V606" i="2" s="1"/>
  <c r="O614" i="2"/>
  <c r="P614" i="2" s="1"/>
  <c r="Q614" i="2" s="1"/>
  <c r="V614" i="2" s="1"/>
  <c r="O622" i="2"/>
  <c r="P622" i="2" s="1"/>
  <c r="Q622" i="2" s="1"/>
  <c r="V622" i="2" s="1"/>
  <c r="O630" i="2"/>
  <c r="P630" i="2" s="1"/>
  <c r="O638" i="2"/>
  <c r="P638" i="2" s="1"/>
  <c r="Q638" i="2" s="1"/>
  <c r="V638" i="2" s="1"/>
  <c r="O118" i="2"/>
  <c r="P118" i="2" s="1"/>
  <c r="O142" i="2"/>
  <c r="P142" i="2" s="1"/>
  <c r="O166" i="2"/>
  <c r="P166" i="2" s="1"/>
  <c r="O190" i="2"/>
  <c r="P190" i="2" s="1"/>
  <c r="O214" i="2"/>
  <c r="P214" i="2" s="1"/>
  <c r="O238" i="2"/>
  <c r="P238" i="2" s="1"/>
  <c r="O246" i="2"/>
  <c r="P246" i="2" s="1"/>
  <c r="O270" i="2"/>
  <c r="P270" i="2" s="1"/>
  <c r="O294" i="2"/>
  <c r="P294" i="2" s="1"/>
  <c r="O318" i="2"/>
  <c r="P318" i="2" s="1"/>
  <c r="O334" i="2"/>
  <c r="P334" i="2" s="1"/>
  <c r="O358" i="2"/>
  <c r="P358" i="2" s="1"/>
  <c r="O390" i="2"/>
  <c r="P390" i="2" s="1"/>
  <c r="O41" i="2"/>
  <c r="P41" i="2" s="1"/>
  <c r="O49" i="2"/>
  <c r="P49" i="2" s="1"/>
  <c r="Q49" i="2" s="1"/>
  <c r="V49" i="2" s="1"/>
  <c r="O57" i="2"/>
  <c r="P57" i="2" s="1"/>
  <c r="O65" i="2"/>
  <c r="P65" i="2" s="1"/>
  <c r="Q65" i="2" s="1"/>
  <c r="V65" i="2" s="1"/>
  <c r="O73" i="2"/>
  <c r="P73" i="2" s="1"/>
  <c r="O81" i="2"/>
  <c r="P81" i="2" s="1"/>
  <c r="Q81" i="2" s="1"/>
  <c r="V81" i="2" s="1"/>
  <c r="O89" i="2"/>
  <c r="P89" i="2" s="1"/>
  <c r="O97" i="2"/>
  <c r="P97" i="2" s="1"/>
  <c r="Q97" i="2" s="1"/>
  <c r="V97" i="2" s="1"/>
  <c r="O112" i="2"/>
  <c r="P112" i="2" s="1"/>
  <c r="Q112" i="2" s="1"/>
  <c r="V112" i="2" s="1"/>
  <c r="O120" i="2"/>
  <c r="P120" i="2" s="1"/>
  <c r="O128" i="2"/>
  <c r="P128" i="2" s="1"/>
  <c r="Q128" i="2" s="1"/>
  <c r="V128" i="2" s="1"/>
  <c r="O136" i="2"/>
  <c r="P136" i="2" s="1"/>
  <c r="O144" i="2"/>
  <c r="P144" i="2" s="1"/>
  <c r="Q144" i="2" s="1"/>
  <c r="V144" i="2" s="1"/>
  <c r="O152" i="2"/>
  <c r="P152" i="2" s="1"/>
  <c r="O160" i="2"/>
  <c r="P160" i="2" s="1"/>
  <c r="Q160" i="2" s="1"/>
  <c r="V160" i="2" s="1"/>
  <c r="O168" i="2"/>
  <c r="P168" i="2" s="1"/>
  <c r="Q168" i="2" s="1"/>
  <c r="V168" i="2" s="1"/>
  <c r="O176" i="2"/>
  <c r="P176" i="2" s="1"/>
  <c r="Q176" i="2" s="1"/>
  <c r="V176" i="2" s="1"/>
  <c r="O184" i="2"/>
  <c r="P184" i="2" s="1"/>
  <c r="O192" i="2"/>
  <c r="P192" i="2" s="1"/>
  <c r="Q192" i="2" s="1"/>
  <c r="V192" i="2" s="1"/>
  <c r="O200" i="2"/>
  <c r="P200" i="2" s="1"/>
  <c r="Q200" i="2" s="1"/>
  <c r="V200" i="2" s="1"/>
  <c r="O208" i="2"/>
  <c r="P208" i="2" s="1"/>
  <c r="Q208" i="2" s="1"/>
  <c r="V208" i="2" s="1"/>
  <c r="O216" i="2"/>
  <c r="P216" i="2" s="1"/>
  <c r="O224" i="2"/>
  <c r="P224" i="2" s="1"/>
  <c r="Q224" i="2" s="1"/>
  <c r="V224" i="2" s="1"/>
  <c r="O232" i="2"/>
  <c r="P232" i="2" s="1"/>
  <c r="Q232" i="2" s="1"/>
  <c r="V232" i="2" s="1"/>
  <c r="O240" i="2"/>
  <c r="P240" i="2" s="1"/>
  <c r="Q240" i="2" s="1"/>
  <c r="V240" i="2" s="1"/>
  <c r="O248" i="2"/>
  <c r="P248" i="2" s="1"/>
  <c r="O256" i="2"/>
  <c r="P256" i="2" s="1"/>
  <c r="Q256" i="2" s="1"/>
  <c r="V256" i="2" s="1"/>
  <c r="O264" i="2"/>
  <c r="P264" i="2" s="1"/>
  <c r="Q264" i="2" s="1"/>
  <c r="V264" i="2" s="1"/>
  <c r="O272" i="2"/>
  <c r="P272" i="2" s="1"/>
  <c r="Q272" i="2" s="1"/>
  <c r="V272" i="2" s="1"/>
  <c r="O280" i="2"/>
  <c r="P280" i="2" s="1"/>
  <c r="O288" i="2"/>
  <c r="P288" i="2" s="1"/>
  <c r="Q288" i="2" s="1"/>
  <c r="V288" i="2" s="1"/>
  <c r="O296" i="2"/>
  <c r="P296" i="2" s="1"/>
  <c r="Q296" i="2" s="1"/>
  <c r="V296" i="2" s="1"/>
  <c r="O304" i="2"/>
  <c r="P304" i="2" s="1"/>
  <c r="Q304" i="2" s="1"/>
  <c r="V304" i="2" s="1"/>
  <c r="O312" i="2"/>
  <c r="P312" i="2" s="1"/>
  <c r="O320" i="2"/>
  <c r="P320" i="2" s="1"/>
  <c r="Q320" i="2" s="1"/>
  <c r="V320" i="2" s="1"/>
  <c r="O328" i="2"/>
  <c r="P328" i="2" s="1"/>
  <c r="Q328" i="2" s="1"/>
  <c r="V328" i="2" s="1"/>
  <c r="O336" i="2"/>
  <c r="P336" i="2" s="1"/>
  <c r="Q336" i="2" s="1"/>
  <c r="V336" i="2" s="1"/>
  <c r="O344" i="2"/>
  <c r="P344" i="2" s="1"/>
  <c r="O352" i="2"/>
  <c r="P352" i="2" s="1"/>
  <c r="Q352" i="2" s="1"/>
  <c r="V352" i="2" s="1"/>
  <c r="O360" i="2"/>
  <c r="P360" i="2" s="1"/>
  <c r="Q360" i="2" s="1"/>
  <c r="V360" i="2" s="1"/>
  <c r="O368" i="2"/>
  <c r="P368" i="2" s="1"/>
  <c r="Q368" i="2" s="1"/>
  <c r="V368" i="2" s="1"/>
  <c r="O376" i="2"/>
  <c r="P376" i="2" s="1"/>
  <c r="O384" i="2"/>
  <c r="P384" i="2" s="1"/>
  <c r="Q384" i="2" s="1"/>
  <c r="V384" i="2" s="1"/>
  <c r="O392" i="2"/>
  <c r="P392" i="2" s="1"/>
  <c r="Q392" i="2" s="1"/>
  <c r="V392" i="2" s="1"/>
  <c r="O400" i="2"/>
  <c r="P400" i="2" s="1"/>
  <c r="Q400" i="2" s="1"/>
  <c r="V400" i="2" s="1"/>
  <c r="O408" i="2"/>
  <c r="P408" i="2" s="1"/>
  <c r="O416" i="2"/>
  <c r="P416" i="2" s="1"/>
  <c r="Q416" i="2" s="1"/>
  <c r="V416" i="2" s="1"/>
  <c r="O424" i="2"/>
  <c r="P424" i="2" s="1"/>
  <c r="Q424" i="2" s="1"/>
  <c r="V424" i="2" s="1"/>
  <c r="O432" i="2"/>
  <c r="P432" i="2" s="1"/>
  <c r="Q432" i="2" s="1"/>
  <c r="V432" i="2" s="1"/>
  <c r="O440" i="2"/>
  <c r="P440" i="2" s="1"/>
  <c r="O448" i="2"/>
  <c r="P448" i="2" s="1"/>
  <c r="Q448" i="2" s="1"/>
  <c r="V448" i="2" s="1"/>
  <c r="O456" i="2"/>
  <c r="P456" i="2" s="1"/>
  <c r="Q456" i="2" s="1"/>
  <c r="V456" i="2" s="1"/>
  <c r="O464" i="2"/>
  <c r="P464" i="2" s="1"/>
  <c r="Q464" i="2" s="1"/>
  <c r="V464" i="2" s="1"/>
  <c r="O472" i="2"/>
  <c r="P472" i="2" s="1"/>
  <c r="O480" i="2"/>
  <c r="P480" i="2" s="1"/>
  <c r="Q480" i="2" s="1"/>
  <c r="V480" i="2" s="1"/>
  <c r="O488" i="2"/>
  <c r="P488" i="2" s="1"/>
  <c r="Q488" i="2" s="1"/>
  <c r="V488" i="2" s="1"/>
  <c r="O496" i="2"/>
  <c r="P496" i="2" s="1"/>
  <c r="Q496" i="2" s="1"/>
  <c r="V496" i="2" s="1"/>
  <c r="O503" i="2"/>
  <c r="P503" i="2" s="1"/>
  <c r="O511" i="2"/>
  <c r="P511" i="2" s="1"/>
  <c r="Q511" i="2" s="1"/>
  <c r="V511" i="2" s="1"/>
  <c r="O519" i="2"/>
  <c r="P519" i="2" s="1"/>
  <c r="Q519" i="2" s="1"/>
  <c r="V519" i="2" s="1"/>
  <c r="O527" i="2"/>
  <c r="P527" i="2" s="1"/>
  <c r="Q527" i="2" s="1"/>
  <c r="V527" i="2" s="1"/>
  <c r="O535" i="2"/>
  <c r="P535" i="2" s="1"/>
  <c r="O543" i="2"/>
  <c r="P543" i="2" s="1"/>
  <c r="Q543" i="2" s="1"/>
  <c r="V543" i="2" s="1"/>
  <c r="O551" i="2"/>
  <c r="P551" i="2" s="1"/>
  <c r="Q551" i="2" s="1"/>
  <c r="V551" i="2" s="1"/>
  <c r="O559" i="2"/>
  <c r="P559" i="2" s="1"/>
  <c r="Q559" i="2" s="1"/>
  <c r="V559" i="2" s="1"/>
  <c r="O567" i="2"/>
  <c r="P567" i="2" s="1"/>
  <c r="O575" i="2"/>
  <c r="P575" i="2" s="1"/>
  <c r="Q575" i="2" s="1"/>
  <c r="V575" i="2" s="1"/>
  <c r="O583" i="2"/>
  <c r="P583" i="2" s="1"/>
  <c r="Q583" i="2" s="1"/>
  <c r="O591" i="2"/>
  <c r="P591" i="2" s="1"/>
  <c r="Q591" i="2" s="1"/>
  <c r="O599" i="2"/>
  <c r="P599" i="2" s="1"/>
  <c r="Q599" i="2" s="1"/>
  <c r="O607" i="2"/>
  <c r="P607" i="2" s="1"/>
  <c r="Q607" i="2" s="1"/>
  <c r="O615" i="2"/>
  <c r="P615" i="2" s="1"/>
  <c r="Q615" i="2" s="1"/>
  <c r="O623" i="2"/>
  <c r="P623" i="2" s="1"/>
  <c r="Q623" i="2" s="1"/>
  <c r="O631" i="2"/>
  <c r="P631" i="2" s="1"/>
  <c r="Q631" i="2" s="1"/>
  <c r="O639" i="2"/>
  <c r="P639" i="2" s="1"/>
  <c r="Q639" i="2" s="1"/>
  <c r="O126" i="2"/>
  <c r="P126" i="2" s="1"/>
  <c r="O150" i="2"/>
  <c r="P150" i="2" s="1"/>
  <c r="O174" i="2"/>
  <c r="P174" i="2" s="1"/>
  <c r="O198" i="2"/>
  <c r="P198" i="2" s="1"/>
  <c r="O222" i="2"/>
  <c r="P222" i="2" s="1"/>
  <c r="O254" i="2"/>
  <c r="P254" i="2" s="1"/>
  <c r="O278" i="2"/>
  <c r="P278" i="2" s="1"/>
  <c r="O302" i="2"/>
  <c r="P302" i="2" s="1"/>
  <c r="O326" i="2"/>
  <c r="P326" i="2" s="1"/>
  <c r="O342" i="2"/>
  <c r="P342" i="2" s="1"/>
  <c r="O350" i="2"/>
  <c r="P350" i="2" s="1"/>
  <c r="O366" i="2"/>
  <c r="P366" i="2" s="1"/>
  <c r="O374" i="2"/>
  <c r="P374" i="2" s="1"/>
  <c r="O398" i="2"/>
  <c r="P398" i="2" s="1"/>
  <c r="O10" i="2"/>
  <c r="P10" i="2" s="1"/>
  <c r="O18" i="2"/>
  <c r="P18" i="2" s="1"/>
  <c r="O26" i="2"/>
  <c r="P26" i="2" s="1"/>
  <c r="O34" i="2"/>
  <c r="P34" i="2" s="1"/>
  <c r="O42" i="2"/>
  <c r="P42" i="2" s="1"/>
  <c r="O50" i="2"/>
  <c r="P50" i="2" s="1"/>
  <c r="O58" i="2"/>
  <c r="P58" i="2" s="1"/>
  <c r="O66" i="2"/>
  <c r="P66" i="2" s="1"/>
  <c r="O74" i="2"/>
  <c r="P74" i="2" s="1"/>
  <c r="O82" i="2"/>
  <c r="P82" i="2" s="1"/>
  <c r="O90" i="2"/>
  <c r="P90" i="2" s="1"/>
  <c r="O98" i="2"/>
  <c r="P98" i="2" s="1"/>
  <c r="O105" i="2"/>
  <c r="P105" i="2" s="1"/>
  <c r="O113" i="2"/>
  <c r="P113" i="2" s="1"/>
  <c r="O121" i="2"/>
  <c r="P121" i="2" s="1"/>
  <c r="O129" i="2"/>
  <c r="P129" i="2" s="1"/>
  <c r="O137" i="2"/>
  <c r="P137" i="2" s="1"/>
  <c r="O145" i="2"/>
  <c r="P145" i="2" s="1"/>
  <c r="O153" i="2"/>
  <c r="P153" i="2" s="1"/>
  <c r="O161" i="2"/>
  <c r="P161" i="2" s="1"/>
  <c r="O169" i="2"/>
  <c r="P169" i="2" s="1"/>
  <c r="O177" i="2"/>
  <c r="P177" i="2" s="1"/>
  <c r="O185" i="2"/>
  <c r="P185" i="2" s="1"/>
  <c r="O193" i="2"/>
  <c r="P193" i="2" s="1"/>
  <c r="O201" i="2"/>
  <c r="P201" i="2" s="1"/>
  <c r="O209" i="2"/>
  <c r="P209" i="2" s="1"/>
  <c r="O217" i="2"/>
  <c r="P217" i="2" s="1"/>
  <c r="O225" i="2"/>
  <c r="P225" i="2" s="1"/>
  <c r="O233" i="2"/>
  <c r="P233" i="2" s="1"/>
  <c r="O241" i="2"/>
  <c r="P241" i="2" s="1"/>
  <c r="O249" i="2"/>
  <c r="P249" i="2" s="1"/>
  <c r="O257" i="2"/>
  <c r="P257" i="2" s="1"/>
  <c r="O265" i="2"/>
  <c r="P265" i="2" s="1"/>
  <c r="O273" i="2"/>
  <c r="P273" i="2" s="1"/>
  <c r="O281" i="2"/>
  <c r="P281" i="2" s="1"/>
  <c r="O289" i="2"/>
  <c r="P289" i="2" s="1"/>
  <c r="O297" i="2"/>
  <c r="P297" i="2" s="1"/>
  <c r="O305" i="2"/>
  <c r="P305" i="2" s="1"/>
  <c r="O313" i="2"/>
  <c r="P313" i="2" s="1"/>
  <c r="O321" i="2"/>
  <c r="P321" i="2" s="1"/>
  <c r="O329" i="2"/>
  <c r="P329" i="2" s="1"/>
  <c r="O337" i="2"/>
  <c r="P337" i="2" s="1"/>
  <c r="O345" i="2"/>
  <c r="P345" i="2" s="1"/>
  <c r="O353" i="2"/>
  <c r="P353" i="2" s="1"/>
  <c r="O361" i="2"/>
  <c r="P361" i="2" s="1"/>
  <c r="O369" i="2"/>
  <c r="P369" i="2" s="1"/>
  <c r="O377" i="2"/>
  <c r="P377" i="2" s="1"/>
  <c r="O385" i="2"/>
  <c r="P385" i="2" s="1"/>
  <c r="O393" i="2"/>
  <c r="P393" i="2" s="1"/>
  <c r="O401" i="2"/>
  <c r="P401" i="2" s="1"/>
  <c r="O409" i="2"/>
  <c r="P409" i="2" s="1"/>
  <c r="O417" i="2"/>
  <c r="P417" i="2" s="1"/>
  <c r="O425" i="2"/>
  <c r="P425" i="2" s="1"/>
  <c r="O433" i="2"/>
  <c r="P433" i="2" s="1"/>
  <c r="O441" i="2"/>
  <c r="P441" i="2" s="1"/>
  <c r="O449" i="2"/>
  <c r="P449" i="2" s="1"/>
  <c r="O457" i="2"/>
  <c r="P457" i="2" s="1"/>
  <c r="O465" i="2"/>
  <c r="P465" i="2" s="1"/>
  <c r="O473" i="2"/>
  <c r="P473" i="2" s="1"/>
  <c r="O481" i="2"/>
  <c r="P481" i="2" s="1"/>
  <c r="O489" i="2"/>
  <c r="P489" i="2" s="1"/>
  <c r="O497" i="2"/>
  <c r="P497" i="2" s="1"/>
  <c r="O504" i="2"/>
  <c r="P504" i="2" s="1"/>
  <c r="O512" i="2"/>
  <c r="P512" i="2" s="1"/>
  <c r="O520" i="2"/>
  <c r="P520" i="2" s="1"/>
  <c r="O528" i="2"/>
  <c r="P528" i="2" s="1"/>
  <c r="O536" i="2"/>
  <c r="P536" i="2" s="1"/>
  <c r="O544" i="2"/>
  <c r="P544" i="2" s="1"/>
  <c r="O552" i="2"/>
  <c r="P552" i="2" s="1"/>
  <c r="O560" i="2"/>
  <c r="P560" i="2" s="1"/>
  <c r="O568" i="2"/>
  <c r="P568" i="2" s="1"/>
  <c r="O576" i="2"/>
  <c r="P576" i="2" s="1"/>
  <c r="O584" i="2"/>
  <c r="P584" i="2" s="1"/>
  <c r="O592" i="2"/>
  <c r="P592" i="2" s="1"/>
  <c r="O600" i="2"/>
  <c r="P600" i="2" s="1"/>
  <c r="O608" i="2"/>
  <c r="P608" i="2" s="1"/>
  <c r="O616" i="2"/>
  <c r="P616" i="2" s="1"/>
  <c r="O624" i="2"/>
  <c r="P624" i="2" s="1"/>
  <c r="U624" i="2" s="1"/>
  <c r="O632" i="2"/>
  <c r="P632" i="2" s="1"/>
  <c r="O640" i="2"/>
  <c r="P640" i="2" s="1"/>
  <c r="Q282" i="2" l="1"/>
  <c r="V282" i="2" s="1"/>
  <c r="W282" i="2" s="1"/>
  <c r="U186" i="2"/>
  <c r="W186" i="2" s="1"/>
  <c r="Q178" i="2"/>
  <c r="V178" i="2" s="1"/>
  <c r="U410" i="2"/>
  <c r="U354" i="2"/>
  <c r="W354" i="2" s="1"/>
  <c r="U418" i="2"/>
  <c r="U378" i="2"/>
  <c r="U389" i="2"/>
  <c r="W389" i="2" s="1"/>
  <c r="Q346" i="2"/>
  <c r="V346" i="2" s="1"/>
  <c r="W346" i="2" s="1"/>
  <c r="Q633" i="2"/>
  <c r="V633" i="2" s="1"/>
  <c r="W633" i="2" s="1"/>
  <c r="U474" i="2"/>
  <c r="W474" i="2" s="1"/>
  <c r="Q274" i="2"/>
  <c r="V274" i="2" s="1"/>
  <c r="W274" i="2" s="1"/>
  <c r="Q442" i="2"/>
  <c r="V442" i="2" s="1"/>
  <c r="W442" i="2" s="1"/>
  <c r="Q298" i="2"/>
  <c r="V298" i="2" s="1"/>
  <c r="W298" i="2" s="1"/>
  <c r="U218" i="2"/>
  <c r="W218" i="2" s="1"/>
  <c r="Q458" i="2"/>
  <c r="V458" i="2" s="1"/>
  <c r="W458" i="2" s="1"/>
  <c r="U99" i="2"/>
  <c r="W99" i="2" s="1"/>
  <c r="W16" i="2"/>
  <c r="Q482" i="2"/>
  <c r="V482" i="2" s="1"/>
  <c r="W482" i="2" s="1"/>
  <c r="Q386" i="2"/>
  <c r="V386" i="2" s="1"/>
  <c r="W386" i="2" s="1"/>
  <c r="Q242" i="2"/>
  <c r="V242" i="2" s="1"/>
  <c r="W242" i="2" s="1"/>
  <c r="Q381" i="2"/>
  <c r="V381" i="2" s="1"/>
  <c r="W381" i="2" s="1"/>
  <c r="U306" i="2"/>
  <c r="W306" i="2" s="1"/>
  <c r="V106" i="2"/>
  <c r="U585" i="2"/>
  <c r="W585" i="2" s="1"/>
  <c r="Q450" i="2"/>
  <c r="V450" i="2" s="1"/>
  <c r="W450" i="2" s="1"/>
  <c r="Q466" i="2"/>
  <c r="V466" i="2" s="1"/>
  <c r="W466" i="2" s="1"/>
  <c r="U625" i="2"/>
  <c r="W625" i="2" s="1"/>
  <c r="U330" i="2"/>
  <c r="W330" i="2" s="1"/>
  <c r="U357" i="2"/>
  <c r="W357" i="2" s="1"/>
  <c r="Q426" i="2"/>
  <c r="V426" i="2" s="1"/>
  <c r="W426" i="2" s="1"/>
  <c r="Q394" i="2"/>
  <c r="V394" i="2" s="1"/>
  <c r="W394" i="2" s="1"/>
  <c r="Q322" i="2"/>
  <c r="V322" i="2" s="1"/>
  <c r="W322" i="2" s="1"/>
  <c r="Q266" i="2"/>
  <c r="V266" i="2" s="1"/>
  <c r="W266" i="2" s="1"/>
  <c r="Q194" i="2"/>
  <c r="V194" i="2" s="1"/>
  <c r="W194" i="2" s="1"/>
  <c r="U453" i="2"/>
  <c r="W453" i="2" s="1"/>
  <c r="Q362" i="2"/>
  <c r="V362" i="2" s="1"/>
  <c r="W362" i="2" s="1"/>
  <c r="Q250" i="2"/>
  <c r="V250" i="2" s="1"/>
  <c r="W250" i="2" s="1"/>
  <c r="U33" i="2"/>
  <c r="W33" i="2" s="1"/>
  <c r="Q402" i="2"/>
  <c r="V402" i="2" s="1"/>
  <c r="W402" i="2" s="1"/>
  <c r="Q258" i="2"/>
  <c r="V258" i="2" s="1"/>
  <c r="W258" i="2" s="1"/>
  <c r="Q27" i="2"/>
  <c r="V27" i="2" s="1"/>
  <c r="W27" i="2" s="1"/>
  <c r="Q490" i="2"/>
  <c r="V490" i="2" s="1"/>
  <c r="W490" i="2" s="1"/>
  <c r="Q277" i="2"/>
  <c r="V277" i="2" s="1"/>
  <c r="W277" i="2" s="1"/>
  <c r="Q333" i="2"/>
  <c r="V333" i="2" s="1"/>
  <c r="W333" i="2" s="1"/>
  <c r="U532" i="2"/>
  <c r="W532" i="2" s="1"/>
  <c r="U437" i="2"/>
  <c r="W437" i="2" s="1"/>
  <c r="U221" i="2"/>
  <c r="W221" i="2" s="1"/>
  <c r="U17" i="2"/>
  <c r="W17" i="2" s="1"/>
  <c r="Q86" i="2"/>
  <c r="V86" i="2" s="1"/>
  <c r="W86" i="2" s="1"/>
  <c r="Q5" i="2"/>
  <c r="V5" i="2" s="1"/>
  <c r="W5" i="2" s="1"/>
  <c r="Q601" i="2"/>
  <c r="V601" i="2" s="1"/>
  <c r="W601" i="2" s="1"/>
  <c r="U445" i="2"/>
  <c r="W445" i="2" s="1"/>
  <c r="Q609" i="2"/>
  <c r="V609" i="2" s="1"/>
  <c r="W609" i="2" s="1"/>
  <c r="U13" i="2"/>
  <c r="W13" i="2" s="1"/>
  <c r="Q617" i="2"/>
  <c r="V617" i="2" s="1"/>
  <c r="W617" i="2" s="1"/>
  <c r="U19" i="2"/>
  <c r="W19" i="2" s="1"/>
  <c r="Q25" i="2"/>
  <c r="V25" i="2" s="1"/>
  <c r="W25" i="2" s="1"/>
  <c r="Q540" i="2"/>
  <c r="V540" i="2" s="1"/>
  <c r="W540" i="2" s="1"/>
  <c r="Q553" i="2"/>
  <c r="V553" i="2" s="1"/>
  <c r="W553" i="2" s="1"/>
  <c r="Q285" i="2"/>
  <c r="V285" i="2" s="1"/>
  <c r="W285" i="2" s="1"/>
  <c r="Q577" i="2"/>
  <c r="V577" i="2" s="1"/>
  <c r="W577" i="2" s="1"/>
  <c r="U269" i="2"/>
  <c r="W269" i="2" s="1"/>
  <c r="U301" i="2"/>
  <c r="W301" i="2" s="1"/>
  <c r="W8" i="2"/>
  <c r="U469" i="2"/>
  <c r="W469" i="2" s="1"/>
  <c r="Q516" i="2"/>
  <c r="V516" i="2" s="1"/>
  <c r="W516" i="2" s="1"/>
  <c r="Q593" i="2"/>
  <c r="V593" i="2" s="1"/>
  <c r="W593" i="2" s="1"/>
  <c r="U373" i="2"/>
  <c r="W373" i="2" s="1"/>
  <c r="U628" i="2"/>
  <c r="W628" i="2" s="1"/>
  <c r="Q556" i="2"/>
  <c r="V556" i="2" s="1"/>
  <c r="W556" i="2" s="1"/>
  <c r="Q325" i="2"/>
  <c r="V325" i="2" s="1"/>
  <c r="W325" i="2" s="1"/>
  <c r="Q421" i="2"/>
  <c r="V421" i="2" s="1"/>
  <c r="W421" i="2" s="1"/>
  <c r="U413" i="2"/>
  <c r="W413" i="2" s="1"/>
  <c r="Q162" i="2"/>
  <c r="V162" i="2" s="1"/>
  <c r="W162" i="2" s="1"/>
  <c r="U22" i="2"/>
  <c r="W22" i="2" s="1"/>
  <c r="W35" i="2"/>
  <c r="W537" i="2"/>
  <c r="Q561" i="2"/>
  <c r="V561" i="2" s="1"/>
  <c r="W561" i="2" s="1"/>
  <c r="U405" i="2"/>
  <c r="W405" i="2" s="1"/>
  <c r="V104" i="2"/>
  <c r="V359" i="2"/>
  <c r="Q70" i="2"/>
  <c r="V70" i="2" s="1"/>
  <c r="W70" i="2" s="1"/>
  <c r="Q6" i="2"/>
  <c r="V6" i="2" s="1"/>
  <c r="W6" i="2" s="1"/>
  <c r="Q524" i="2"/>
  <c r="V524" i="2" s="1"/>
  <c r="W524" i="2" s="1"/>
  <c r="Q429" i="2"/>
  <c r="V429" i="2" s="1"/>
  <c r="W429" i="2" s="1"/>
  <c r="Q365" i="2"/>
  <c r="V365" i="2" s="1"/>
  <c r="W365" i="2" s="1"/>
  <c r="Q461" i="2"/>
  <c r="V461" i="2" s="1"/>
  <c r="W461" i="2" s="1"/>
  <c r="Q293" i="2"/>
  <c r="V293" i="2" s="1"/>
  <c r="W293" i="2" s="1"/>
  <c r="V48" i="2"/>
  <c r="V223" i="2"/>
  <c r="V303" i="2"/>
  <c r="V479" i="2"/>
  <c r="V558" i="2"/>
  <c r="Q253" i="2"/>
  <c r="V253" i="2" s="1"/>
  <c r="W253" i="2" s="1"/>
  <c r="V143" i="2"/>
  <c r="Q9" i="2"/>
  <c r="V9" i="2" s="1"/>
  <c r="W9" i="2" s="1"/>
  <c r="Q189" i="2"/>
  <c r="V189" i="2" s="1"/>
  <c r="W189" i="2" s="1"/>
  <c r="W59" i="2"/>
  <c r="W370" i="2"/>
  <c r="Q78" i="2"/>
  <c r="V78" i="2" s="1"/>
  <c r="W78" i="2" s="1"/>
  <c r="V239" i="2"/>
  <c r="V495" i="2"/>
  <c r="W513" i="2"/>
  <c r="Q36" i="2"/>
  <c r="V36" i="2" s="1"/>
  <c r="W36" i="2" s="1"/>
  <c r="Q30" i="2"/>
  <c r="V30" i="2" s="1"/>
  <c r="W30" i="2" s="1"/>
  <c r="V40" i="2"/>
  <c r="Q170" i="2"/>
  <c r="V170" i="2" s="1"/>
  <c r="W170" i="2" s="1"/>
  <c r="W434" i="2"/>
  <c r="U21" i="2"/>
  <c r="Q21" i="2"/>
  <c r="V21" i="2" s="1"/>
  <c r="U229" i="2"/>
  <c r="Q229" i="2"/>
  <c r="V229" i="2" s="1"/>
  <c r="U564" i="2"/>
  <c r="Q564" i="2"/>
  <c r="V564" i="2" s="1"/>
  <c r="V72" i="2"/>
  <c r="V159" i="2"/>
  <c r="V327" i="2"/>
  <c r="V415" i="2"/>
  <c r="V591" i="2"/>
  <c r="U117" i="2"/>
  <c r="W117" i="2" s="1"/>
  <c r="U485" i="2"/>
  <c r="W485" i="2" s="1"/>
  <c r="V80" i="2"/>
  <c r="V167" i="2"/>
  <c r="V255" i="2"/>
  <c r="V335" i="2"/>
  <c r="W91" i="2"/>
  <c r="W43" i="2"/>
  <c r="U397" i="2"/>
  <c r="Q397" i="2"/>
  <c r="V397" i="2" s="1"/>
  <c r="V64" i="2"/>
  <c r="U154" i="2"/>
  <c r="Q154" i="2"/>
  <c r="V154" i="2" s="1"/>
  <c r="V96" i="2"/>
  <c r="V175" i="2"/>
  <c r="V135" i="2"/>
  <c r="V639" i="2"/>
  <c r="V191" i="2"/>
  <c r="V271" i="2"/>
  <c r="V447" i="2"/>
  <c r="V526" i="2"/>
  <c r="V615" i="2"/>
  <c r="U237" i="2"/>
  <c r="W237" i="2" s="1"/>
  <c r="W178" i="2"/>
  <c r="W83" i="2"/>
  <c r="Q572" i="2"/>
  <c r="V572" i="2" s="1"/>
  <c r="W572" i="2" s="1"/>
  <c r="W32" i="2"/>
  <c r="V111" i="2"/>
  <c r="V199" i="2"/>
  <c r="V287" i="2"/>
  <c r="V367" i="2"/>
  <c r="V455" i="2"/>
  <c r="V542" i="2"/>
  <c r="V623" i="2"/>
  <c r="U102" i="2"/>
  <c r="W102" i="2" s="1"/>
  <c r="U580" i="2"/>
  <c r="Q580" i="2"/>
  <c r="V580" i="2" s="1"/>
  <c r="Q338" i="2"/>
  <c r="V338" i="2" s="1"/>
  <c r="U338" i="2"/>
  <c r="V391" i="2"/>
  <c r="O3" i="2"/>
  <c r="P3" i="2" s="1"/>
  <c r="Q3" i="2" s="1"/>
  <c r="V3" i="2" s="1"/>
  <c r="V127" i="2"/>
  <c r="V207" i="2"/>
  <c r="V295" i="2"/>
  <c r="V383" i="2"/>
  <c r="V463" i="2"/>
  <c r="V550" i="2"/>
  <c r="V631" i="2"/>
  <c r="W290" i="2"/>
  <c r="V231" i="2"/>
  <c r="V319" i="2"/>
  <c r="V399" i="2"/>
  <c r="V487" i="2"/>
  <c r="V583" i="2"/>
  <c r="W75" i="2"/>
  <c r="W24" i="2"/>
  <c r="W545" i="2"/>
  <c r="W210" i="2"/>
  <c r="W418" i="2"/>
  <c r="V423" i="2"/>
  <c r="V510" i="2"/>
  <c r="V599" i="2"/>
  <c r="W521" i="2"/>
  <c r="W67" i="2"/>
  <c r="V263" i="2"/>
  <c r="V351" i="2"/>
  <c r="V431" i="2"/>
  <c r="V518" i="2"/>
  <c r="V607" i="2"/>
  <c r="W529" i="2"/>
  <c r="W410" i="2"/>
  <c r="W51" i="2"/>
  <c r="W569" i="2"/>
  <c r="W378" i="2"/>
  <c r="Q341" i="2"/>
  <c r="V341" i="2" s="1"/>
  <c r="W341" i="2" s="1"/>
  <c r="Q37" i="2"/>
  <c r="V37" i="2" s="1"/>
  <c r="W37" i="2" s="1"/>
  <c r="Q500" i="2"/>
  <c r="V500" i="2" s="1"/>
  <c r="W500" i="2" s="1"/>
  <c r="Q14" i="2"/>
  <c r="V14" i="2" s="1"/>
  <c r="W14" i="2" s="1"/>
  <c r="Q205" i="2"/>
  <c r="V205" i="2" s="1"/>
  <c r="W205" i="2" s="1"/>
  <c r="Q29" i="2"/>
  <c r="V29" i="2" s="1"/>
  <c r="W29" i="2" s="1"/>
  <c r="U317" i="2"/>
  <c r="W317" i="2" s="1"/>
  <c r="Q612" i="2"/>
  <c r="V612" i="2" s="1"/>
  <c r="W612" i="2" s="1"/>
  <c r="Q588" i="2"/>
  <c r="V588" i="2" s="1"/>
  <c r="W588" i="2" s="1"/>
  <c r="Q493" i="2"/>
  <c r="V493" i="2" s="1"/>
  <c r="W493" i="2" s="1"/>
  <c r="Q4" i="2"/>
  <c r="V4" i="2" s="1"/>
  <c r="W4" i="2" s="1"/>
  <c r="Q94" i="2"/>
  <c r="V94" i="2" s="1"/>
  <c r="W94" i="2" s="1"/>
  <c r="Q114" i="2"/>
  <c r="V114" i="2" s="1"/>
  <c r="W114" i="2" s="1"/>
  <c r="Q314" i="2"/>
  <c r="V314" i="2" s="1"/>
  <c r="W314" i="2" s="1"/>
  <c r="Q309" i="2"/>
  <c r="V309" i="2" s="1"/>
  <c r="W309" i="2" s="1"/>
  <c r="Q349" i="2"/>
  <c r="V349" i="2" s="1"/>
  <c r="W349" i="2" s="1"/>
  <c r="Q130" i="2"/>
  <c r="V130" i="2" s="1"/>
  <c r="W130" i="2" s="1"/>
  <c r="Q11" i="2"/>
  <c r="V11" i="2" s="1"/>
  <c r="W11" i="2" s="1"/>
  <c r="Q213" i="2"/>
  <c r="V213" i="2" s="1"/>
  <c r="W213" i="2" s="1"/>
  <c r="Q181" i="2"/>
  <c r="V181" i="2" s="1"/>
  <c r="W181" i="2" s="1"/>
  <c r="U122" i="2"/>
  <c r="W122" i="2" s="1"/>
  <c r="U109" i="2"/>
  <c r="W109" i="2" s="1"/>
  <c r="Q636" i="2"/>
  <c r="V636" i="2" s="1"/>
  <c r="W636" i="2" s="1"/>
  <c r="Q620" i="2"/>
  <c r="V620" i="2" s="1"/>
  <c r="W620" i="2" s="1"/>
  <c r="Q604" i="2"/>
  <c r="V604" i="2" s="1"/>
  <c r="W604" i="2" s="1"/>
  <c r="Q596" i="2"/>
  <c r="V596" i="2" s="1"/>
  <c r="W596" i="2" s="1"/>
  <c r="U226" i="2"/>
  <c r="W226" i="2" s="1"/>
  <c r="U508" i="2"/>
  <c r="W508" i="2" s="1"/>
  <c r="Q245" i="2"/>
  <c r="V245" i="2" s="1"/>
  <c r="W245" i="2" s="1"/>
  <c r="U173" i="2"/>
  <c r="W173" i="2" s="1"/>
  <c r="Q20" i="2"/>
  <c r="V20" i="2" s="1"/>
  <c r="W20" i="2" s="1"/>
  <c r="Q62" i="2"/>
  <c r="V62" i="2" s="1"/>
  <c r="W62" i="2" s="1"/>
  <c r="Q202" i="2"/>
  <c r="V202" i="2" s="1"/>
  <c r="W202" i="2" s="1"/>
  <c r="Q46" i="2"/>
  <c r="V46" i="2" s="1"/>
  <c r="W46" i="2" s="1"/>
  <c r="Q38" i="2"/>
  <c r="V38" i="2" s="1"/>
  <c r="W38" i="2" s="1"/>
  <c r="Q12" i="2"/>
  <c r="V12" i="2" s="1"/>
  <c r="W12" i="2" s="1"/>
  <c r="Q548" i="2"/>
  <c r="V548" i="2" s="1"/>
  <c r="W548" i="2" s="1"/>
  <c r="Q505" i="2"/>
  <c r="V505" i="2" s="1"/>
  <c r="W505" i="2" s="1"/>
  <c r="Q477" i="2"/>
  <c r="V477" i="2" s="1"/>
  <c r="W477" i="2" s="1"/>
  <c r="Q261" i="2"/>
  <c r="V261" i="2" s="1"/>
  <c r="W261" i="2" s="1"/>
  <c r="Q234" i="2"/>
  <c r="V234" i="2" s="1"/>
  <c r="W234" i="2" s="1"/>
  <c r="Q197" i="2"/>
  <c r="V197" i="2" s="1"/>
  <c r="W197" i="2" s="1"/>
  <c r="U615" i="2"/>
  <c r="U239" i="2"/>
  <c r="U65" i="2"/>
  <c r="W65" i="2" s="1"/>
  <c r="U511" i="2"/>
  <c r="W511" i="2" s="1"/>
  <c r="Q165" i="2"/>
  <c r="V165" i="2" s="1"/>
  <c r="W165" i="2" s="1"/>
  <c r="Q54" i="2"/>
  <c r="V54" i="2" s="1"/>
  <c r="W54" i="2" s="1"/>
  <c r="U271" i="2"/>
  <c r="Q28" i="2"/>
  <c r="V28" i="2" s="1"/>
  <c r="W28" i="2" s="1"/>
  <c r="U526" i="2"/>
  <c r="U96" i="2"/>
  <c r="U367" i="2"/>
  <c r="U176" i="2"/>
  <c r="W176" i="2" s="1"/>
  <c r="U519" i="2"/>
  <c r="W519" i="2" s="1"/>
  <c r="Q141" i="2"/>
  <c r="V141" i="2" s="1"/>
  <c r="W141" i="2" s="1"/>
  <c r="U495" i="2"/>
  <c r="U232" i="2"/>
  <c r="W232" i="2" s="1"/>
  <c r="Q146" i="2"/>
  <c r="V146" i="2" s="1"/>
  <c r="W146" i="2" s="1"/>
  <c r="U106" i="2"/>
  <c r="U255" i="2"/>
  <c r="U256" i="2"/>
  <c r="W256" i="2" s="1"/>
  <c r="U583" i="2"/>
  <c r="U383" i="2"/>
  <c r="U264" i="2"/>
  <c r="W264" i="2" s="1"/>
  <c r="U479" i="2"/>
  <c r="U263" i="2"/>
  <c r="U510" i="2"/>
  <c r="U574" i="2"/>
  <c r="W574" i="2" s="1"/>
  <c r="U336" i="2"/>
  <c r="W336" i="2" s="1"/>
  <c r="U223" i="2"/>
  <c r="U391" i="2"/>
  <c r="U622" i="2"/>
  <c r="W622" i="2" s="1"/>
  <c r="U424" i="2"/>
  <c r="W424" i="2" s="1"/>
  <c r="U351" i="2"/>
  <c r="U399" i="2"/>
  <c r="U518" i="2"/>
  <c r="U49" i="2"/>
  <c r="W49" i="2" s="1"/>
  <c r="U432" i="2"/>
  <c r="W432" i="2" s="1"/>
  <c r="U168" i="2"/>
  <c r="W168" i="2" s="1"/>
  <c r="Q157" i="2"/>
  <c r="V157" i="2" s="1"/>
  <c r="W157" i="2" s="1"/>
  <c r="Q149" i="2"/>
  <c r="V149" i="2" s="1"/>
  <c r="W149" i="2" s="1"/>
  <c r="U143" i="2"/>
  <c r="Q138" i="2"/>
  <c r="V138" i="2" s="1"/>
  <c r="W138" i="2" s="1"/>
  <c r="U135" i="2"/>
  <c r="Q133" i="2"/>
  <c r="V133" i="2" s="1"/>
  <c r="W133" i="2" s="1"/>
  <c r="U127" i="2"/>
  <c r="Q125" i="2"/>
  <c r="V125" i="2" s="1"/>
  <c r="W125" i="2" s="1"/>
  <c r="U111" i="2"/>
  <c r="Q624" i="2"/>
  <c r="V624" i="2" s="1"/>
  <c r="U241" i="2"/>
  <c r="Q241" i="2"/>
  <c r="V241" i="2" s="1"/>
  <c r="U366" i="2"/>
  <c r="Q366" i="2"/>
  <c r="V366" i="2" s="1"/>
  <c r="U597" i="2"/>
  <c r="Q597" i="2"/>
  <c r="V597" i="2" s="1"/>
  <c r="U444" i="2"/>
  <c r="Q444" i="2"/>
  <c r="V444" i="2" s="1"/>
  <c r="U61" i="2"/>
  <c r="Q61" i="2"/>
  <c r="V61" i="2" s="1"/>
  <c r="U283" i="2"/>
  <c r="Q283" i="2"/>
  <c r="V283" i="2" s="1"/>
  <c r="U361" i="2"/>
  <c r="Q361" i="2"/>
  <c r="V361" i="2" s="1"/>
  <c r="U350" i="2"/>
  <c r="Q350" i="2"/>
  <c r="V350" i="2" s="1"/>
  <c r="Q344" i="2"/>
  <c r="V344" i="2" s="1"/>
  <c r="U344" i="2"/>
  <c r="U563" i="2"/>
  <c r="Q563" i="2"/>
  <c r="V563" i="2" s="1"/>
  <c r="U180" i="2"/>
  <c r="Q180" i="2"/>
  <c r="V180" i="2" s="1"/>
  <c r="U211" i="2"/>
  <c r="Q211" i="2"/>
  <c r="V211" i="2" s="1"/>
  <c r="U576" i="2"/>
  <c r="Q576" i="2"/>
  <c r="V576" i="2" s="1"/>
  <c r="U449" i="2"/>
  <c r="Q449" i="2"/>
  <c r="V449" i="2" s="1"/>
  <c r="U321" i="2"/>
  <c r="Q321" i="2"/>
  <c r="V321" i="2" s="1"/>
  <c r="U193" i="2"/>
  <c r="Q193" i="2"/>
  <c r="V193" i="2" s="1"/>
  <c r="U66" i="2"/>
  <c r="Q66" i="2"/>
  <c r="V66" i="2" s="1"/>
  <c r="U254" i="2"/>
  <c r="Q254" i="2"/>
  <c r="V254" i="2" s="1"/>
  <c r="U630" i="2"/>
  <c r="Q630" i="2"/>
  <c r="V630" i="2" s="1"/>
  <c r="U502" i="2"/>
  <c r="Q502" i="2"/>
  <c r="V502" i="2" s="1"/>
  <c r="U439" i="2"/>
  <c r="Q439" i="2"/>
  <c r="V439" i="2" s="1"/>
  <c r="U311" i="2"/>
  <c r="Q311" i="2"/>
  <c r="V311" i="2" s="1"/>
  <c r="U183" i="2"/>
  <c r="Q183" i="2"/>
  <c r="V183" i="2" s="1"/>
  <c r="U56" i="2"/>
  <c r="Q56" i="2"/>
  <c r="V56" i="2" s="1"/>
  <c r="U549" i="2"/>
  <c r="Q549" i="2"/>
  <c r="V549" i="2" s="1"/>
  <c r="U396" i="2"/>
  <c r="Q396" i="2"/>
  <c r="V396" i="2" s="1"/>
  <c r="U632" i="2"/>
  <c r="Q632" i="2"/>
  <c r="V632" i="2" s="1"/>
  <c r="U568" i="2"/>
  <c r="Q568" i="2"/>
  <c r="V568" i="2" s="1"/>
  <c r="U504" i="2"/>
  <c r="Q504" i="2"/>
  <c r="V504" i="2" s="1"/>
  <c r="U441" i="2"/>
  <c r="Q441" i="2"/>
  <c r="V441" i="2" s="1"/>
  <c r="U377" i="2"/>
  <c r="Q377" i="2"/>
  <c r="V377" i="2" s="1"/>
  <c r="U313" i="2"/>
  <c r="Q313" i="2"/>
  <c r="V313" i="2" s="1"/>
  <c r="U249" i="2"/>
  <c r="Q249" i="2"/>
  <c r="V249" i="2" s="1"/>
  <c r="U185" i="2"/>
  <c r="Q185" i="2"/>
  <c r="V185" i="2" s="1"/>
  <c r="U121" i="2"/>
  <c r="Q121" i="2"/>
  <c r="V121" i="2" s="1"/>
  <c r="U58" i="2"/>
  <c r="Q58" i="2"/>
  <c r="V58" i="2" s="1"/>
  <c r="U374" i="2"/>
  <c r="Q374" i="2"/>
  <c r="V374" i="2" s="1"/>
  <c r="U222" i="2"/>
  <c r="Q222" i="2"/>
  <c r="V222" i="2" s="1"/>
  <c r="U41" i="2"/>
  <c r="Q41" i="2"/>
  <c r="V41" i="2" s="1"/>
  <c r="U238" i="2"/>
  <c r="Q238" i="2"/>
  <c r="V238" i="2" s="1"/>
  <c r="U182" i="2"/>
  <c r="Q182" i="2"/>
  <c r="V182" i="2" s="1"/>
  <c r="U605" i="2"/>
  <c r="Q605" i="2"/>
  <c r="V605" i="2" s="1"/>
  <c r="U541" i="2"/>
  <c r="Q541" i="2"/>
  <c r="V541" i="2" s="1"/>
  <c r="U478" i="2"/>
  <c r="Q478" i="2"/>
  <c r="V478" i="2" s="1"/>
  <c r="U414" i="2"/>
  <c r="Q414" i="2"/>
  <c r="V414" i="2" s="1"/>
  <c r="U579" i="2"/>
  <c r="Q579" i="2"/>
  <c r="V579" i="2" s="1"/>
  <c r="U515" i="2"/>
  <c r="Q515" i="2"/>
  <c r="V515" i="2" s="1"/>
  <c r="U452" i="2"/>
  <c r="Q452" i="2"/>
  <c r="V452" i="2" s="1"/>
  <c r="U388" i="2"/>
  <c r="Q388" i="2"/>
  <c r="V388" i="2" s="1"/>
  <c r="U324" i="2"/>
  <c r="Q324" i="2"/>
  <c r="V324" i="2" s="1"/>
  <c r="U260" i="2"/>
  <c r="Q260" i="2"/>
  <c r="V260" i="2" s="1"/>
  <c r="U196" i="2"/>
  <c r="Q196" i="2"/>
  <c r="V196" i="2" s="1"/>
  <c r="U132" i="2"/>
  <c r="Q132" i="2"/>
  <c r="V132" i="2" s="1"/>
  <c r="U69" i="2"/>
  <c r="Q69" i="2"/>
  <c r="V69" i="2" s="1"/>
  <c r="U610" i="2"/>
  <c r="Q610" i="2"/>
  <c r="V610" i="2" s="1"/>
  <c r="U546" i="2"/>
  <c r="Q546" i="2"/>
  <c r="V546" i="2" s="1"/>
  <c r="U483" i="2"/>
  <c r="Q483" i="2"/>
  <c r="V483" i="2" s="1"/>
  <c r="U419" i="2"/>
  <c r="Q419" i="2"/>
  <c r="V419" i="2" s="1"/>
  <c r="U355" i="2"/>
  <c r="Q355" i="2"/>
  <c r="V355" i="2" s="1"/>
  <c r="U291" i="2"/>
  <c r="Q291" i="2"/>
  <c r="V291" i="2" s="1"/>
  <c r="U227" i="2"/>
  <c r="Q227" i="2"/>
  <c r="V227" i="2" s="1"/>
  <c r="U163" i="2"/>
  <c r="Q163" i="2"/>
  <c r="V163" i="2" s="1"/>
  <c r="U100" i="2"/>
  <c r="Q100" i="2"/>
  <c r="V100" i="2" s="1"/>
  <c r="U406" i="2"/>
  <c r="Q406" i="2"/>
  <c r="V406" i="2" s="1"/>
  <c r="U47" i="2"/>
  <c r="Q47" i="2"/>
  <c r="V47" i="2" s="1"/>
  <c r="U48" i="2"/>
  <c r="U175" i="2"/>
  <c r="U303" i="2"/>
  <c r="U431" i="2"/>
  <c r="U558" i="2"/>
  <c r="U638" i="2"/>
  <c r="W638" i="2" s="1"/>
  <c r="U160" i="2"/>
  <c r="W160" i="2" s="1"/>
  <c r="U240" i="2"/>
  <c r="W240" i="2" s="1"/>
  <c r="U328" i="2"/>
  <c r="W328" i="2" s="1"/>
  <c r="U416" i="2"/>
  <c r="W416" i="2" s="1"/>
  <c r="U496" i="2"/>
  <c r="W496" i="2" s="1"/>
  <c r="U433" i="2"/>
  <c r="Q433" i="2"/>
  <c r="V433" i="2" s="1"/>
  <c r="U50" i="2"/>
  <c r="Q50" i="2"/>
  <c r="V50" i="2" s="1"/>
  <c r="U635" i="2"/>
  <c r="Q635" i="2"/>
  <c r="V635" i="2" s="1"/>
  <c r="U252" i="2"/>
  <c r="Q252" i="2"/>
  <c r="V252" i="2" s="1"/>
  <c r="U411" i="2"/>
  <c r="Q411" i="2"/>
  <c r="V411" i="2" s="1"/>
  <c r="U39" i="2"/>
  <c r="Q39" i="2"/>
  <c r="V39" i="2" s="1"/>
  <c r="U489" i="2"/>
  <c r="Q489" i="2"/>
  <c r="V489" i="2" s="1"/>
  <c r="U42" i="2"/>
  <c r="Q42" i="2"/>
  <c r="V42" i="2" s="1"/>
  <c r="U408" i="2"/>
  <c r="Q408" i="2"/>
  <c r="V408" i="2" s="1"/>
  <c r="U358" i="2"/>
  <c r="Q358" i="2"/>
  <c r="V358" i="2" s="1"/>
  <c r="U525" i="2"/>
  <c r="Q525" i="2"/>
  <c r="V525" i="2" s="1"/>
  <c r="U308" i="2"/>
  <c r="Q308" i="2"/>
  <c r="V308" i="2" s="1"/>
  <c r="U530" i="2"/>
  <c r="Q530" i="2"/>
  <c r="V530" i="2" s="1"/>
  <c r="U147" i="2"/>
  <c r="Q147" i="2"/>
  <c r="V147" i="2" s="1"/>
  <c r="U608" i="2"/>
  <c r="Q608" i="2"/>
  <c r="V608" i="2" s="1"/>
  <c r="U544" i="2"/>
  <c r="Q544" i="2"/>
  <c r="V544" i="2" s="1"/>
  <c r="U481" i="2"/>
  <c r="Q481" i="2"/>
  <c r="V481" i="2" s="1"/>
  <c r="U417" i="2"/>
  <c r="Q417" i="2"/>
  <c r="V417" i="2" s="1"/>
  <c r="U353" i="2"/>
  <c r="Q353" i="2"/>
  <c r="V353" i="2" s="1"/>
  <c r="U289" i="2"/>
  <c r="Q289" i="2"/>
  <c r="V289" i="2" s="1"/>
  <c r="U225" i="2"/>
  <c r="Q225" i="2"/>
  <c r="V225" i="2" s="1"/>
  <c r="U161" i="2"/>
  <c r="Q161" i="2"/>
  <c r="V161" i="2" s="1"/>
  <c r="U98" i="2"/>
  <c r="Q98" i="2"/>
  <c r="V98" i="2" s="1"/>
  <c r="U34" i="2"/>
  <c r="Q34" i="2"/>
  <c r="V34" i="2" s="1"/>
  <c r="U342" i="2"/>
  <c r="Q342" i="2"/>
  <c r="V342" i="2" s="1"/>
  <c r="U150" i="2"/>
  <c r="Q150" i="2"/>
  <c r="V150" i="2" s="1"/>
  <c r="U334" i="2"/>
  <c r="Q334" i="2"/>
  <c r="V334" i="2" s="1"/>
  <c r="U166" i="2"/>
  <c r="Q166" i="2"/>
  <c r="V166" i="2" s="1"/>
  <c r="U598" i="2"/>
  <c r="Q598" i="2"/>
  <c r="V598" i="2" s="1"/>
  <c r="U534" i="2"/>
  <c r="Q534" i="2"/>
  <c r="V534" i="2" s="1"/>
  <c r="U471" i="2"/>
  <c r="Q471" i="2"/>
  <c r="V471" i="2" s="1"/>
  <c r="U407" i="2"/>
  <c r="Q407" i="2"/>
  <c r="V407" i="2" s="1"/>
  <c r="U343" i="2"/>
  <c r="Q343" i="2"/>
  <c r="V343" i="2" s="1"/>
  <c r="U279" i="2"/>
  <c r="Q279" i="2"/>
  <c r="V279" i="2" s="1"/>
  <c r="U215" i="2"/>
  <c r="Q215" i="2"/>
  <c r="V215" i="2" s="1"/>
  <c r="U151" i="2"/>
  <c r="Q151" i="2"/>
  <c r="V151" i="2" s="1"/>
  <c r="U88" i="2"/>
  <c r="Q88" i="2"/>
  <c r="V88" i="2" s="1"/>
  <c r="U310" i="2"/>
  <c r="Q310" i="2"/>
  <c r="V310" i="2" s="1"/>
  <c r="U110" i="2"/>
  <c r="Q110" i="2"/>
  <c r="V110" i="2" s="1"/>
  <c r="U581" i="2"/>
  <c r="Q581" i="2"/>
  <c r="V581" i="2" s="1"/>
  <c r="U517" i="2"/>
  <c r="Q517" i="2"/>
  <c r="V517" i="2" s="1"/>
  <c r="U454" i="2"/>
  <c r="Q454" i="2"/>
  <c r="V454" i="2" s="1"/>
  <c r="U619" i="2"/>
  <c r="Q619" i="2"/>
  <c r="V619" i="2" s="1"/>
  <c r="U555" i="2"/>
  <c r="Q555" i="2"/>
  <c r="V555" i="2" s="1"/>
  <c r="U492" i="2"/>
  <c r="Q492" i="2"/>
  <c r="V492" i="2" s="1"/>
  <c r="U428" i="2"/>
  <c r="Q428" i="2"/>
  <c r="V428" i="2" s="1"/>
  <c r="U364" i="2"/>
  <c r="Q364" i="2"/>
  <c r="V364" i="2" s="1"/>
  <c r="U300" i="2"/>
  <c r="Q300" i="2"/>
  <c r="V300" i="2" s="1"/>
  <c r="U236" i="2"/>
  <c r="Q236" i="2"/>
  <c r="V236" i="2" s="1"/>
  <c r="U172" i="2"/>
  <c r="Q172" i="2"/>
  <c r="V172" i="2" s="1"/>
  <c r="U108" i="2"/>
  <c r="Q108" i="2"/>
  <c r="V108" i="2" s="1"/>
  <c r="U45" i="2"/>
  <c r="Q45" i="2"/>
  <c r="V45" i="2" s="1"/>
  <c r="U586" i="2"/>
  <c r="Q586" i="2"/>
  <c r="V586" i="2" s="1"/>
  <c r="U522" i="2"/>
  <c r="Q522" i="2"/>
  <c r="V522" i="2" s="1"/>
  <c r="U459" i="2"/>
  <c r="Q459" i="2"/>
  <c r="V459" i="2" s="1"/>
  <c r="U395" i="2"/>
  <c r="Q395" i="2"/>
  <c r="V395" i="2" s="1"/>
  <c r="U331" i="2"/>
  <c r="Q331" i="2"/>
  <c r="V331" i="2" s="1"/>
  <c r="U267" i="2"/>
  <c r="Q267" i="2"/>
  <c r="V267" i="2" s="1"/>
  <c r="U203" i="2"/>
  <c r="Q203" i="2"/>
  <c r="V203" i="2" s="1"/>
  <c r="U139" i="2"/>
  <c r="Q139" i="2"/>
  <c r="V139" i="2" s="1"/>
  <c r="U76" i="2"/>
  <c r="Q76" i="2"/>
  <c r="V76" i="2" s="1"/>
  <c r="U87" i="2"/>
  <c r="Q87" i="2"/>
  <c r="V87" i="2" s="1"/>
  <c r="U23" i="2"/>
  <c r="Q23" i="2"/>
  <c r="V23" i="2" s="1"/>
  <c r="U64" i="2"/>
  <c r="U104" i="2"/>
  <c r="U191" i="2"/>
  <c r="U231" i="2"/>
  <c r="U319" i="2"/>
  <c r="U359" i="2"/>
  <c r="U447" i="2"/>
  <c r="U487" i="2"/>
  <c r="U582" i="2"/>
  <c r="W582" i="2" s="1"/>
  <c r="U81" i="2"/>
  <c r="W81" i="2" s="1"/>
  <c r="U192" i="2"/>
  <c r="W192" i="2" s="1"/>
  <c r="U272" i="2"/>
  <c r="W272" i="2" s="1"/>
  <c r="U360" i="2"/>
  <c r="W360" i="2" s="1"/>
  <c r="U448" i="2"/>
  <c r="W448" i="2" s="1"/>
  <c r="U527" i="2"/>
  <c r="W527" i="2" s="1"/>
  <c r="U591" i="2"/>
  <c r="U623" i="2"/>
  <c r="U560" i="2"/>
  <c r="Q560" i="2"/>
  <c r="V560" i="2" s="1"/>
  <c r="U177" i="2"/>
  <c r="Q177" i="2"/>
  <c r="V177" i="2" s="1"/>
  <c r="U390" i="2"/>
  <c r="Q390" i="2"/>
  <c r="V390" i="2" s="1"/>
  <c r="U158" i="2"/>
  <c r="Q158" i="2"/>
  <c r="V158" i="2" s="1"/>
  <c r="U507" i="2"/>
  <c r="Q507" i="2"/>
  <c r="V507" i="2" s="1"/>
  <c r="U188" i="2"/>
  <c r="Q188" i="2"/>
  <c r="V188" i="2" s="1"/>
  <c r="U475" i="2"/>
  <c r="Q475" i="2"/>
  <c r="V475" i="2" s="1"/>
  <c r="U155" i="2"/>
  <c r="Q155" i="2"/>
  <c r="V155" i="2" s="1"/>
  <c r="U616" i="2"/>
  <c r="Q616" i="2"/>
  <c r="V616" i="2" s="1"/>
  <c r="U233" i="2"/>
  <c r="Q233" i="2"/>
  <c r="V233" i="2" s="1"/>
  <c r="U105" i="2"/>
  <c r="Q105" i="2"/>
  <c r="V105" i="2" s="1"/>
  <c r="U472" i="2"/>
  <c r="Q472" i="2"/>
  <c r="V472" i="2" s="1"/>
  <c r="Q89" i="2"/>
  <c r="V89" i="2" s="1"/>
  <c r="U89" i="2"/>
  <c r="U589" i="2"/>
  <c r="Q589" i="2"/>
  <c r="V589" i="2" s="1"/>
  <c r="U436" i="2"/>
  <c r="Q436" i="2"/>
  <c r="V436" i="2" s="1"/>
  <c r="U53" i="2"/>
  <c r="Q53" i="2"/>
  <c r="V53" i="2" s="1"/>
  <c r="U403" i="2"/>
  <c r="Q403" i="2"/>
  <c r="V403" i="2" s="1"/>
  <c r="U95" i="2"/>
  <c r="Q95" i="2"/>
  <c r="V95" i="2" s="1"/>
  <c r="U600" i="2"/>
  <c r="Q600" i="2"/>
  <c r="V600" i="2" s="1"/>
  <c r="U409" i="2"/>
  <c r="Q409" i="2"/>
  <c r="V409" i="2" s="1"/>
  <c r="U217" i="2"/>
  <c r="Q217" i="2"/>
  <c r="V217" i="2" s="1"/>
  <c r="U326" i="2"/>
  <c r="Q326" i="2"/>
  <c r="V326" i="2" s="1"/>
  <c r="U318" i="2"/>
  <c r="Q318" i="2"/>
  <c r="V318" i="2" s="1"/>
  <c r="U573" i="2"/>
  <c r="Q573" i="2"/>
  <c r="V573" i="2" s="1"/>
  <c r="U509" i="2"/>
  <c r="Q509" i="2"/>
  <c r="V509" i="2" s="1"/>
  <c r="U446" i="2"/>
  <c r="Q446" i="2"/>
  <c r="V446" i="2" s="1"/>
  <c r="U611" i="2"/>
  <c r="Q611" i="2"/>
  <c r="V611" i="2" s="1"/>
  <c r="U484" i="2"/>
  <c r="Q484" i="2"/>
  <c r="V484" i="2" s="1"/>
  <c r="U356" i="2"/>
  <c r="Q356" i="2"/>
  <c r="V356" i="2" s="1"/>
  <c r="U292" i="2"/>
  <c r="Q292" i="2"/>
  <c r="V292" i="2" s="1"/>
  <c r="U228" i="2"/>
  <c r="Q228" i="2"/>
  <c r="V228" i="2" s="1"/>
  <c r="U164" i="2"/>
  <c r="Q164" i="2"/>
  <c r="V164" i="2" s="1"/>
  <c r="U101" i="2"/>
  <c r="Q101" i="2"/>
  <c r="V101" i="2" s="1"/>
  <c r="U578" i="2"/>
  <c r="Q578" i="2"/>
  <c r="V578" i="2" s="1"/>
  <c r="U514" i="2"/>
  <c r="Q514" i="2"/>
  <c r="V514" i="2" s="1"/>
  <c r="U451" i="2"/>
  <c r="Q451" i="2"/>
  <c r="V451" i="2" s="1"/>
  <c r="U387" i="2"/>
  <c r="Q387" i="2"/>
  <c r="V387" i="2" s="1"/>
  <c r="U323" i="2"/>
  <c r="Q323" i="2"/>
  <c r="V323" i="2" s="1"/>
  <c r="U259" i="2"/>
  <c r="Q259" i="2"/>
  <c r="V259" i="2" s="1"/>
  <c r="U195" i="2"/>
  <c r="Q195" i="2"/>
  <c r="V195" i="2" s="1"/>
  <c r="U131" i="2"/>
  <c r="Q131" i="2"/>
  <c r="V131" i="2" s="1"/>
  <c r="U68" i="2"/>
  <c r="Q68" i="2"/>
  <c r="V68" i="2" s="1"/>
  <c r="U79" i="2"/>
  <c r="Q79" i="2"/>
  <c r="V79" i="2" s="1"/>
  <c r="U15" i="2"/>
  <c r="Q15" i="2"/>
  <c r="V15" i="2" s="1"/>
  <c r="U590" i="2"/>
  <c r="W590" i="2" s="1"/>
  <c r="U97" i="2"/>
  <c r="W97" i="2" s="1"/>
  <c r="U200" i="2"/>
  <c r="W200" i="2" s="1"/>
  <c r="U288" i="2"/>
  <c r="W288" i="2" s="1"/>
  <c r="U368" i="2"/>
  <c r="W368" i="2" s="1"/>
  <c r="U456" i="2"/>
  <c r="W456" i="2" s="1"/>
  <c r="U543" i="2"/>
  <c r="W543" i="2" s="1"/>
  <c r="U599" i="2"/>
  <c r="U305" i="2"/>
  <c r="Q305" i="2"/>
  <c r="V305" i="2" s="1"/>
  <c r="U198" i="2"/>
  <c r="Q198" i="2"/>
  <c r="V198" i="2" s="1"/>
  <c r="U214" i="2"/>
  <c r="Q214" i="2"/>
  <c r="V214" i="2" s="1"/>
  <c r="U533" i="2"/>
  <c r="Q533" i="2"/>
  <c r="V533" i="2" s="1"/>
  <c r="U316" i="2"/>
  <c r="Q316" i="2"/>
  <c r="V316" i="2" s="1"/>
  <c r="U538" i="2"/>
  <c r="Q538" i="2"/>
  <c r="V538" i="2" s="1"/>
  <c r="U103" i="2"/>
  <c r="Q103" i="2"/>
  <c r="V103" i="2" s="1"/>
  <c r="U552" i="2"/>
  <c r="Q552" i="2"/>
  <c r="V552" i="2" s="1"/>
  <c r="Q216" i="2"/>
  <c r="V216" i="2" s="1"/>
  <c r="U216" i="2"/>
  <c r="U382" i="2"/>
  <c r="Q382" i="2"/>
  <c r="V382" i="2" s="1"/>
  <c r="U499" i="2"/>
  <c r="Q499" i="2"/>
  <c r="V499" i="2" s="1"/>
  <c r="U116" i="2"/>
  <c r="Q116" i="2"/>
  <c r="V116" i="2" s="1"/>
  <c r="U275" i="2"/>
  <c r="Q275" i="2"/>
  <c r="V275" i="2" s="1"/>
  <c r="U473" i="2"/>
  <c r="Q473" i="2"/>
  <c r="V473" i="2" s="1"/>
  <c r="U281" i="2"/>
  <c r="Q281" i="2"/>
  <c r="V281" i="2" s="1"/>
  <c r="U90" i="2"/>
  <c r="Q90" i="2"/>
  <c r="V90" i="2" s="1"/>
  <c r="U73" i="2"/>
  <c r="Q73" i="2"/>
  <c r="V73" i="2" s="1"/>
  <c r="U286" i="2"/>
  <c r="Q286" i="2"/>
  <c r="V286" i="2" s="1"/>
  <c r="U547" i="2"/>
  <c r="Q547" i="2"/>
  <c r="V547" i="2" s="1"/>
  <c r="U592" i="2"/>
  <c r="Q592" i="2"/>
  <c r="V592" i="2" s="1"/>
  <c r="U465" i="2"/>
  <c r="Q465" i="2"/>
  <c r="V465" i="2" s="1"/>
  <c r="U273" i="2"/>
  <c r="Q273" i="2"/>
  <c r="V273" i="2" s="1"/>
  <c r="U82" i="2"/>
  <c r="Q82" i="2"/>
  <c r="V82" i="2" s="1"/>
  <c r="U294" i="2"/>
  <c r="Q294" i="2"/>
  <c r="V294" i="2" s="1"/>
  <c r="U118" i="2"/>
  <c r="Q118" i="2"/>
  <c r="V118" i="2" s="1"/>
  <c r="U262" i="2"/>
  <c r="Q262" i="2"/>
  <c r="V262" i="2" s="1"/>
  <c r="U629" i="2"/>
  <c r="Q629" i="2"/>
  <c r="V629" i="2" s="1"/>
  <c r="U565" i="2"/>
  <c r="Q565" i="2"/>
  <c r="V565" i="2" s="1"/>
  <c r="U501" i="2"/>
  <c r="Q501" i="2"/>
  <c r="V501" i="2" s="1"/>
  <c r="U438" i="2"/>
  <c r="Q438" i="2"/>
  <c r="V438" i="2" s="1"/>
  <c r="U603" i="2"/>
  <c r="Q603" i="2"/>
  <c r="V603" i="2" s="1"/>
  <c r="U539" i="2"/>
  <c r="Q539" i="2"/>
  <c r="V539" i="2" s="1"/>
  <c r="U476" i="2"/>
  <c r="Q476" i="2"/>
  <c r="V476" i="2" s="1"/>
  <c r="U412" i="2"/>
  <c r="Q412" i="2"/>
  <c r="V412" i="2" s="1"/>
  <c r="U348" i="2"/>
  <c r="Q348" i="2"/>
  <c r="V348" i="2" s="1"/>
  <c r="U284" i="2"/>
  <c r="Q284" i="2"/>
  <c r="V284" i="2" s="1"/>
  <c r="U220" i="2"/>
  <c r="Q220" i="2"/>
  <c r="V220" i="2" s="1"/>
  <c r="U156" i="2"/>
  <c r="Q156" i="2"/>
  <c r="V156" i="2" s="1"/>
  <c r="U93" i="2"/>
  <c r="Q93" i="2"/>
  <c r="V93" i="2" s="1"/>
  <c r="U634" i="2"/>
  <c r="Q634" i="2"/>
  <c r="V634" i="2" s="1"/>
  <c r="U570" i="2"/>
  <c r="Q570" i="2"/>
  <c r="V570" i="2" s="1"/>
  <c r="U506" i="2"/>
  <c r="Q506" i="2"/>
  <c r="V506" i="2" s="1"/>
  <c r="U443" i="2"/>
  <c r="Q443" i="2"/>
  <c r="V443" i="2" s="1"/>
  <c r="U379" i="2"/>
  <c r="Q379" i="2"/>
  <c r="V379" i="2" s="1"/>
  <c r="U315" i="2"/>
  <c r="Q315" i="2"/>
  <c r="V315" i="2" s="1"/>
  <c r="U251" i="2"/>
  <c r="Q251" i="2"/>
  <c r="V251" i="2" s="1"/>
  <c r="U187" i="2"/>
  <c r="Q187" i="2"/>
  <c r="V187" i="2" s="1"/>
  <c r="U123" i="2"/>
  <c r="Q123" i="2"/>
  <c r="V123" i="2" s="1"/>
  <c r="U60" i="2"/>
  <c r="Q60" i="2"/>
  <c r="V60" i="2" s="1"/>
  <c r="U71" i="2"/>
  <c r="Q71" i="2"/>
  <c r="V71" i="2" s="1"/>
  <c r="U7" i="2"/>
  <c r="Q7" i="2"/>
  <c r="V7" i="2" s="1"/>
  <c r="U72" i="2"/>
  <c r="U159" i="2"/>
  <c r="U199" i="2"/>
  <c r="U287" i="2"/>
  <c r="U327" i="2"/>
  <c r="U415" i="2"/>
  <c r="U455" i="2"/>
  <c r="U542" i="2"/>
  <c r="U606" i="2"/>
  <c r="W606" i="2" s="1"/>
  <c r="U112" i="2"/>
  <c r="W112" i="2" s="1"/>
  <c r="U208" i="2"/>
  <c r="W208" i="2" s="1"/>
  <c r="U296" i="2"/>
  <c r="W296" i="2" s="1"/>
  <c r="U384" i="2"/>
  <c r="W384" i="2" s="1"/>
  <c r="U464" i="2"/>
  <c r="W464" i="2" s="1"/>
  <c r="U551" i="2"/>
  <c r="W551" i="2" s="1"/>
  <c r="U631" i="2"/>
  <c r="U369" i="2"/>
  <c r="Q369" i="2"/>
  <c r="V369" i="2" s="1"/>
  <c r="U470" i="2"/>
  <c r="Q470" i="2"/>
  <c r="V470" i="2" s="1"/>
  <c r="U380" i="2"/>
  <c r="Q380" i="2"/>
  <c r="V380" i="2" s="1"/>
  <c r="U602" i="2"/>
  <c r="Q602" i="2"/>
  <c r="V602" i="2" s="1"/>
  <c r="U219" i="2"/>
  <c r="Q219" i="2"/>
  <c r="V219" i="2" s="1"/>
  <c r="U425" i="2"/>
  <c r="Q425" i="2"/>
  <c r="V425" i="2" s="1"/>
  <c r="U174" i="2"/>
  <c r="Q174" i="2"/>
  <c r="V174" i="2" s="1"/>
  <c r="U280" i="2"/>
  <c r="Q280" i="2"/>
  <c r="V280" i="2" s="1"/>
  <c r="U627" i="2"/>
  <c r="Q627" i="2"/>
  <c r="V627" i="2" s="1"/>
  <c r="U244" i="2"/>
  <c r="Q244" i="2"/>
  <c r="V244" i="2" s="1"/>
  <c r="U467" i="2"/>
  <c r="Q467" i="2"/>
  <c r="V467" i="2" s="1"/>
  <c r="U84" i="2"/>
  <c r="Q84" i="2"/>
  <c r="V84" i="2" s="1"/>
  <c r="U536" i="2"/>
  <c r="Q536" i="2"/>
  <c r="V536" i="2" s="1"/>
  <c r="U345" i="2"/>
  <c r="Q345" i="2"/>
  <c r="V345" i="2" s="1"/>
  <c r="U153" i="2"/>
  <c r="Q153" i="2"/>
  <c r="V153" i="2" s="1"/>
  <c r="U26" i="2"/>
  <c r="Q26" i="2"/>
  <c r="V26" i="2" s="1"/>
  <c r="U126" i="2"/>
  <c r="Q126" i="2"/>
  <c r="V126" i="2" s="1"/>
  <c r="U136" i="2"/>
  <c r="Q136" i="2"/>
  <c r="V136" i="2" s="1"/>
  <c r="U142" i="2"/>
  <c r="Q142" i="2"/>
  <c r="V142" i="2" s="1"/>
  <c r="U637" i="2"/>
  <c r="Q637" i="2"/>
  <c r="V637" i="2" s="1"/>
  <c r="U420" i="2"/>
  <c r="Q420" i="2"/>
  <c r="V420" i="2" s="1"/>
  <c r="U528" i="2"/>
  <c r="Q528" i="2"/>
  <c r="V528" i="2" s="1"/>
  <c r="U401" i="2"/>
  <c r="Q401" i="2"/>
  <c r="V401" i="2" s="1"/>
  <c r="U337" i="2"/>
  <c r="Q337" i="2"/>
  <c r="V337" i="2" s="1"/>
  <c r="U209" i="2"/>
  <c r="Q209" i="2"/>
  <c r="V209" i="2" s="1"/>
  <c r="U145" i="2"/>
  <c r="Q145" i="2"/>
  <c r="V145" i="2" s="1"/>
  <c r="U18" i="2"/>
  <c r="Q18" i="2"/>
  <c r="V18" i="2" s="1"/>
  <c r="U302" i="2"/>
  <c r="Q302" i="2"/>
  <c r="V302" i="2" s="1"/>
  <c r="U584" i="2"/>
  <c r="Q584" i="2"/>
  <c r="V584" i="2" s="1"/>
  <c r="U520" i="2"/>
  <c r="Q520" i="2"/>
  <c r="V520" i="2" s="1"/>
  <c r="U457" i="2"/>
  <c r="Q457" i="2"/>
  <c r="V457" i="2" s="1"/>
  <c r="U393" i="2"/>
  <c r="Q393" i="2"/>
  <c r="V393" i="2" s="1"/>
  <c r="U329" i="2"/>
  <c r="Q329" i="2"/>
  <c r="V329" i="2" s="1"/>
  <c r="U265" i="2"/>
  <c r="Q265" i="2"/>
  <c r="V265" i="2" s="1"/>
  <c r="U201" i="2"/>
  <c r="Q201" i="2"/>
  <c r="V201" i="2" s="1"/>
  <c r="U137" i="2"/>
  <c r="Q137" i="2"/>
  <c r="V137" i="2" s="1"/>
  <c r="U74" i="2"/>
  <c r="Q74" i="2"/>
  <c r="V74" i="2" s="1"/>
  <c r="U10" i="2"/>
  <c r="Q10" i="2"/>
  <c r="V10" i="2" s="1"/>
  <c r="U278" i="2"/>
  <c r="Q278" i="2"/>
  <c r="V278" i="2" s="1"/>
  <c r="U567" i="2"/>
  <c r="Q567" i="2"/>
  <c r="V567" i="2" s="1"/>
  <c r="U503" i="2"/>
  <c r="Q503" i="2"/>
  <c r="V503" i="2" s="1"/>
  <c r="U440" i="2"/>
  <c r="Q440" i="2"/>
  <c r="V440" i="2" s="1"/>
  <c r="U376" i="2"/>
  <c r="Q376" i="2"/>
  <c r="V376" i="2" s="1"/>
  <c r="U312" i="2"/>
  <c r="Q312" i="2"/>
  <c r="V312" i="2" s="1"/>
  <c r="U248" i="2"/>
  <c r="Q248" i="2"/>
  <c r="V248" i="2" s="1"/>
  <c r="U184" i="2"/>
  <c r="Q184" i="2"/>
  <c r="V184" i="2" s="1"/>
  <c r="U120" i="2"/>
  <c r="Q120" i="2"/>
  <c r="V120" i="2" s="1"/>
  <c r="U57" i="2"/>
  <c r="Q57" i="2"/>
  <c r="V57" i="2" s="1"/>
  <c r="U270" i="2"/>
  <c r="Q270" i="2"/>
  <c r="V270" i="2" s="1"/>
  <c r="U230" i="2"/>
  <c r="Q230" i="2"/>
  <c r="V230" i="2" s="1"/>
  <c r="U621" i="2"/>
  <c r="Q621" i="2"/>
  <c r="V621" i="2" s="1"/>
  <c r="U557" i="2"/>
  <c r="Q557" i="2"/>
  <c r="V557" i="2" s="1"/>
  <c r="U494" i="2"/>
  <c r="Q494" i="2"/>
  <c r="V494" i="2" s="1"/>
  <c r="U430" i="2"/>
  <c r="Q430" i="2"/>
  <c r="V430" i="2" s="1"/>
  <c r="U595" i="2"/>
  <c r="Q595" i="2"/>
  <c r="V595" i="2" s="1"/>
  <c r="U531" i="2"/>
  <c r="Q531" i="2"/>
  <c r="V531" i="2" s="1"/>
  <c r="U468" i="2"/>
  <c r="Q468" i="2"/>
  <c r="V468" i="2" s="1"/>
  <c r="U404" i="2"/>
  <c r="Q404" i="2"/>
  <c r="V404" i="2" s="1"/>
  <c r="U340" i="2"/>
  <c r="Q340" i="2"/>
  <c r="V340" i="2" s="1"/>
  <c r="U276" i="2"/>
  <c r="Q276" i="2"/>
  <c r="V276" i="2" s="1"/>
  <c r="U212" i="2"/>
  <c r="Q212" i="2"/>
  <c r="V212" i="2" s="1"/>
  <c r="U148" i="2"/>
  <c r="Q148" i="2"/>
  <c r="V148" i="2" s="1"/>
  <c r="U85" i="2"/>
  <c r="Q85" i="2"/>
  <c r="V85" i="2" s="1"/>
  <c r="U626" i="2"/>
  <c r="Q626" i="2"/>
  <c r="V626" i="2" s="1"/>
  <c r="U562" i="2"/>
  <c r="Q562" i="2"/>
  <c r="V562" i="2" s="1"/>
  <c r="U498" i="2"/>
  <c r="Q498" i="2"/>
  <c r="V498" i="2" s="1"/>
  <c r="U435" i="2"/>
  <c r="Q435" i="2"/>
  <c r="V435" i="2" s="1"/>
  <c r="U371" i="2"/>
  <c r="Q371" i="2"/>
  <c r="V371" i="2" s="1"/>
  <c r="U307" i="2"/>
  <c r="Q307" i="2"/>
  <c r="V307" i="2" s="1"/>
  <c r="U243" i="2"/>
  <c r="Q243" i="2"/>
  <c r="V243" i="2" s="1"/>
  <c r="U179" i="2"/>
  <c r="Q179" i="2"/>
  <c r="V179" i="2" s="1"/>
  <c r="U115" i="2"/>
  <c r="Q115" i="2"/>
  <c r="V115" i="2" s="1"/>
  <c r="U52" i="2"/>
  <c r="Q52" i="2"/>
  <c r="V52" i="2" s="1"/>
  <c r="U63" i="2"/>
  <c r="Q63" i="2"/>
  <c r="V63" i="2" s="1"/>
  <c r="U80" i="2"/>
  <c r="U207" i="2"/>
  <c r="U335" i="2"/>
  <c r="U463" i="2"/>
  <c r="U614" i="2"/>
  <c r="W614" i="2" s="1"/>
  <c r="U128" i="2"/>
  <c r="W128" i="2" s="1"/>
  <c r="U224" i="2"/>
  <c r="W224" i="2" s="1"/>
  <c r="U304" i="2"/>
  <c r="W304" i="2" s="1"/>
  <c r="U392" i="2"/>
  <c r="W392" i="2" s="1"/>
  <c r="U480" i="2"/>
  <c r="W480" i="2" s="1"/>
  <c r="U559" i="2"/>
  <c r="W559" i="2" s="1"/>
  <c r="U497" i="2"/>
  <c r="Q497" i="2"/>
  <c r="V497" i="2" s="1"/>
  <c r="U113" i="2"/>
  <c r="Q113" i="2"/>
  <c r="V113" i="2" s="1"/>
  <c r="U571" i="2"/>
  <c r="Q571" i="2"/>
  <c r="V571" i="2" s="1"/>
  <c r="U124" i="2"/>
  <c r="Q124" i="2"/>
  <c r="V124" i="2" s="1"/>
  <c r="U347" i="2"/>
  <c r="Q347" i="2"/>
  <c r="V347" i="2" s="1"/>
  <c r="U92" i="2"/>
  <c r="Q92" i="2"/>
  <c r="V92" i="2" s="1"/>
  <c r="U297" i="2"/>
  <c r="Q297" i="2"/>
  <c r="V297" i="2" s="1"/>
  <c r="U169" i="2"/>
  <c r="Q169" i="2"/>
  <c r="V169" i="2" s="1"/>
  <c r="U535" i="2"/>
  <c r="Q535" i="2"/>
  <c r="V535" i="2" s="1"/>
  <c r="U152" i="2"/>
  <c r="Q152" i="2"/>
  <c r="V152" i="2" s="1"/>
  <c r="U190" i="2"/>
  <c r="Q190" i="2"/>
  <c r="V190" i="2" s="1"/>
  <c r="U134" i="2"/>
  <c r="Q134" i="2"/>
  <c r="V134" i="2" s="1"/>
  <c r="U462" i="2"/>
  <c r="Q462" i="2"/>
  <c r="V462" i="2" s="1"/>
  <c r="U372" i="2"/>
  <c r="Q372" i="2"/>
  <c r="V372" i="2" s="1"/>
  <c r="U594" i="2"/>
  <c r="Q594" i="2"/>
  <c r="V594" i="2" s="1"/>
  <c r="U339" i="2"/>
  <c r="Q339" i="2"/>
  <c r="V339" i="2" s="1"/>
  <c r="U31" i="2"/>
  <c r="Q31" i="2"/>
  <c r="V31" i="2" s="1"/>
  <c r="U352" i="2"/>
  <c r="W352" i="2" s="1"/>
  <c r="U640" i="2"/>
  <c r="Q640" i="2"/>
  <c r="V640" i="2" s="1"/>
  <c r="U512" i="2"/>
  <c r="Q512" i="2"/>
  <c r="V512" i="2" s="1"/>
  <c r="U385" i="2"/>
  <c r="Q385" i="2"/>
  <c r="V385" i="2" s="1"/>
  <c r="U257" i="2"/>
  <c r="Q257" i="2"/>
  <c r="V257" i="2" s="1"/>
  <c r="U129" i="2"/>
  <c r="Q129" i="2"/>
  <c r="V129" i="2" s="1"/>
  <c r="U398" i="2"/>
  <c r="Q398" i="2"/>
  <c r="V398" i="2" s="1"/>
  <c r="U246" i="2"/>
  <c r="Q246" i="2"/>
  <c r="V246" i="2" s="1"/>
  <c r="U566" i="2"/>
  <c r="Q566" i="2"/>
  <c r="V566" i="2" s="1"/>
  <c r="U375" i="2"/>
  <c r="Q375" i="2"/>
  <c r="V375" i="2" s="1"/>
  <c r="U247" i="2"/>
  <c r="Q247" i="2"/>
  <c r="V247" i="2" s="1"/>
  <c r="U119" i="2"/>
  <c r="Q119" i="2"/>
  <c r="V119" i="2" s="1"/>
  <c r="U206" i="2"/>
  <c r="Q206" i="2"/>
  <c r="V206" i="2" s="1"/>
  <c r="U613" i="2"/>
  <c r="Q613" i="2"/>
  <c r="V613" i="2" s="1"/>
  <c r="U486" i="2"/>
  <c r="Q486" i="2"/>
  <c r="V486" i="2" s="1"/>
  <c r="U422" i="2"/>
  <c r="Q422" i="2"/>
  <c r="V422" i="2" s="1"/>
  <c r="U587" i="2"/>
  <c r="Q587" i="2"/>
  <c r="V587" i="2" s="1"/>
  <c r="U523" i="2"/>
  <c r="Q523" i="2"/>
  <c r="V523" i="2" s="1"/>
  <c r="U460" i="2"/>
  <c r="Q460" i="2"/>
  <c r="V460" i="2" s="1"/>
  <c r="U332" i="2"/>
  <c r="Q332" i="2"/>
  <c r="V332" i="2" s="1"/>
  <c r="U268" i="2"/>
  <c r="Q268" i="2"/>
  <c r="V268" i="2" s="1"/>
  <c r="U204" i="2"/>
  <c r="Q204" i="2"/>
  <c r="V204" i="2" s="1"/>
  <c r="U140" i="2"/>
  <c r="Q140" i="2"/>
  <c r="V140" i="2" s="1"/>
  <c r="U77" i="2"/>
  <c r="Q77" i="2"/>
  <c r="V77" i="2" s="1"/>
  <c r="U618" i="2"/>
  <c r="Q618" i="2"/>
  <c r="V618" i="2" s="1"/>
  <c r="U554" i="2"/>
  <c r="Q554" i="2"/>
  <c r="V554" i="2" s="1"/>
  <c r="U491" i="2"/>
  <c r="Q491" i="2"/>
  <c r="V491" i="2" s="1"/>
  <c r="U427" i="2"/>
  <c r="Q427" i="2"/>
  <c r="V427" i="2" s="1"/>
  <c r="U363" i="2"/>
  <c r="Q363" i="2"/>
  <c r="V363" i="2" s="1"/>
  <c r="U299" i="2"/>
  <c r="Q299" i="2"/>
  <c r="V299" i="2" s="1"/>
  <c r="U235" i="2"/>
  <c r="Q235" i="2"/>
  <c r="V235" i="2" s="1"/>
  <c r="U171" i="2"/>
  <c r="Q171" i="2"/>
  <c r="V171" i="2" s="1"/>
  <c r="U107" i="2"/>
  <c r="Q107" i="2"/>
  <c r="V107" i="2" s="1"/>
  <c r="U44" i="2"/>
  <c r="Q44" i="2"/>
  <c r="V44" i="2" s="1"/>
  <c r="U55" i="2"/>
  <c r="Q55" i="2"/>
  <c r="V55" i="2" s="1"/>
  <c r="U40" i="2"/>
  <c r="U167" i="2"/>
  <c r="U295" i="2"/>
  <c r="U423" i="2"/>
  <c r="U550" i="2"/>
  <c r="U144" i="2"/>
  <c r="W144" i="2" s="1"/>
  <c r="U320" i="2"/>
  <c r="W320" i="2" s="1"/>
  <c r="U400" i="2"/>
  <c r="W400" i="2" s="1"/>
  <c r="U488" i="2"/>
  <c r="W488" i="2" s="1"/>
  <c r="U575" i="2"/>
  <c r="W575" i="2" s="1"/>
  <c r="U607" i="2"/>
  <c r="U639" i="2"/>
  <c r="W591" i="2" l="1"/>
  <c r="W463" i="2"/>
  <c r="W487" i="2"/>
  <c r="W631" i="2"/>
  <c r="W542" i="2"/>
  <c r="W104" i="2"/>
  <c r="W48" i="2"/>
  <c r="W106" i="2"/>
  <c r="W351" i="2"/>
  <c r="W319" i="2"/>
  <c r="W287" i="2"/>
  <c r="W303" i="2"/>
  <c r="W72" i="2"/>
  <c r="W615" i="2"/>
  <c r="W558" i="2"/>
  <c r="W495" i="2"/>
  <c r="W455" i="2"/>
  <c r="W80" i="2"/>
  <c r="W550" i="2"/>
  <c r="W599" i="2"/>
  <c r="W135" i="2"/>
  <c r="W518" i="2"/>
  <c r="W223" i="2"/>
  <c r="W397" i="2"/>
  <c r="W143" i="2"/>
  <c r="W359" i="2"/>
  <c r="W415" i="2"/>
  <c r="W96" i="2"/>
  <c r="W40" i="2"/>
  <c r="W231" i="2"/>
  <c r="W216" i="2"/>
  <c r="W89" i="2"/>
  <c r="W383" i="2"/>
  <c r="W55" i="2"/>
  <c r="W235" i="2"/>
  <c r="W491" i="2"/>
  <c r="W140" i="2"/>
  <c r="W460" i="2"/>
  <c r="W486" i="2"/>
  <c r="W247" i="2"/>
  <c r="W398" i="2"/>
  <c r="W512" i="2"/>
  <c r="W179" i="2"/>
  <c r="W435" i="2"/>
  <c r="W85" i="2"/>
  <c r="W340" i="2"/>
  <c r="W595" i="2"/>
  <c r="W621" i="2"/>
  <c r="W120" i="2"/>
  <c r="W376" i="2"/>
  <c r="W278" i="2"/>
  <c r="W201" i="2"/>
  <c r="W457" i="2"/>
  <c r="W18" i="2"/>
  <c r="W401" i="2"/>
  <c r="W142" i="2"/>
  <c r="W153" i="2"/>
  <c r="W467" i="2"/>
  <c r="W174" i="2"/>
  <c r="W380" i="2"/>
  <c r="W71" i="2"/>
  <c r="W251" i="2"/>
  <c r="W506" i="2"/>
  <c r="W156" i="2"/>
  <c r="W412" i="2"/>
  <c r="W438" i="2"/>
  <c r="W262" i="2"/>
  <c r="W273" i="2"/>
  <c r="W286" i="2"/>
  <c r="W473" i="2"/>
  <c r="W382" i="2"/>
  <c r="W538" i="2"/>
  <c r="W198" i="2"/>
  <c r="W68" i="2"/>
  <c r="W323" i="2"/>
  <c r="W578" i="2"/>
  <c r="W292" i="2"/>
  <c r="W446" i="2"/>
  <c r="W326" i="2"/>
  <c r="W95" i="2"/>
  <c r="W589" i="2"/>
  <c r="W233" i="2"/>
  <c r="W188" i="2"/>
  <c r="W177" i="2"/>
  <c r="W406" i="2"/>
  <c r="W291" i="2"/>
  <c r="W546" i="2"/>
  <c r="W196" i="2"/>
  <c r="W452" i="2"/>
  <c r="W478" i="2"/>
  <c r="W238" i="2"/>
  <c r="W374" i="2"/>
  <c r="W249" i="2"/>
  <c r="W504" i="2"/>
  <c r="W549" i="2"/>
  <c r="W439" i="2"/>
  <c r="W66" i="2"/>
  <c r="W576" i="2"/>
  <c r="W263" i="2"/>
  <c r="W526" i="2"/>
  <c r="W199" i="2"/>
  <c r="W127" i="2"/>
  <c r="W347" i="2"/>
  <c r="W535" i="2"/>
  <c r="W497" i="2"/>
  <c r="W367" i="2"/>
  <c r="W139" i="2"/>
  <c r="W395" i="2"/>
  <c r="W45" i="2"/>
  <c r="W300" i="2"/>
  <c r="W555" i="2"/>
  <c r="W581" i="2"/>
  <c r="W151" i="2"/>
  <c r="W407" i="2"/>
  <c r="W166" i="2"/>
  <c r="W34" i="2"/>
  <c r="W289" i="2"/>
  <c r="W544" i="2"/>
  <c r="W308" i="2"/>
  <c r="W42" i="2"/>
  <c r="W252" i="2"/>
  <c r="W111" i="2"/>
  <c r="W92" i="2"/>
  <c r="W423" i="2"/>
  <c r="W167" i="2"/>
  <c r="W462" i="2"/>
  <c r="W447" i="2"/>
  <c r="W23" i="2"/>
  <c r="W203" i="2"/>
  <c r="W459" i="2"/>
  <c r="W108" i="2"/>
  <c r="W364" i="2"/>
  <c r="W619" i="2"/>
  <c r="W110" i="2"/>
  <c r="W215" i="2"/>
  <c r="W471" i="2"/>
  <c r="W334" i="2"/>
  <c r="W98" i="2"/>
  <c r="W353" i="2"/>
  <c r="W608" i="2"/>
  <c r="W525" i="2"/>
  <c r="W489" i="2"/>
  <c r="W635" i="2"/>
  <c r="W583" i="2"/>
  <c r="W31" i="2"/>
  <c r="W113" i="2"/>
  <c r="W229" i="2"/>
  <c r="W479" i="2"/>
  <c r="W61" i="2"/>
  <c r="W241" i="2"/>
  <c r="W399" i="2"/>
  <c r="W510" i="2"/>
  <c r="W239" i="2"/>
  <c r="W338" i="2"/>
  <c r="W119" i="2"/>
  <c r="W371" i="2"/>
  <c r="W57" i="2"/>
  <c r="W393" i="2"/>
  <c r="W84" i="2"/>
  <c r="W603" i="2"/>
  <c r="W281" i="2"/>
  <c r="W79" i="2"/>
  <c r="W600" i="2"/>
  <c r="W47" i="2"/>
  <c r="W227" i="2"/>
  <c r="W483" i="2"/>
  <c r="W132" i="2"/>
  <c r="W388" i="2"/>
  <c r="W414" i="2"/>
  <c r="W182" i="2"/>
  <c r="W222" i="2"/>
  <c r="W185" i="2"/>
  <c r="W441" i="2"/>
  <c r="W396" i="2"/>
  <c r="W311" i="2"/>
  <c r="W254" i="2"/>
  <c r="W449" i="2"/>
  <c r="W563" i="2"/>
  <c r="W283" i="2"/>
  <c r="W366" i="2"/>
  <c r="W564" i="2"/>
  <c r="W339" i="2"/>
  <c r="W134" i="2"/>
  <c r="W169" i="2"/>
  <c r="W124" i="2"/>
  <c r="W207" i="2"/>
  <c r="W87" i="2"/>
  <c r="W267" i="2"/>
  <c r="W522" i="2"/>
  <c r="W172" i="2"/>
  <c r="W428" i="2"/>
  <c r="W454" i="2"/>
  <c r="W310" i="2"/>
  <c r="W279" i="2"/>
  <c r="W534" i="2"/>
  <c r="W150" i="2"/>
  <c r="W161" i="2"/>
  <c r="W417" i="2"/>
  <c r="W147" i="2"/>
  <c r="W358" i="2"/>
  <c r="W39" i="2"/>
  <c r="W50" i="2"/>
  <c r="W344" i="2"/>
  <c r="W255" i="2"/>
  <c r="W77" i="2"/>
  <c r="W246" i="2"/>
  <c r="W626" i="2"/>
  <c r="W312" i="2"/>
  <c r="W337" i="2"/>
  <c r="W602" i="2"/>
  <c r="W443" i="2"/>
  <c r="W629" i="2"/>
  <c r="W103" i="2"/>
  <c r="W514" i="2"/>
  <c r="W436" i="2"/>
  <c r="W571" i="2"/>
  <c r="W191" i="2"/>
  <c r="W76" i="2"/>
  <c r="W331" i="2"/>
  <c r="W586" i="2"/>
  <c r="W236" i="2"/>
  <c r="W492" i="2"/>
  <c r="W517" i="2"/>
  <c r="W88" i="2"/>
  <c r="W343" i="2"/>
  <c r="W598" i="2"/>
  <c r="W342" i="2"/>
  <c r="W225" i="2"/>
  <c r="W481" i="2"/>
  <c r="W530" i="2"/>
  <c r="W408" i="2"/>
  <c r="W411" i="2"/>
  <c r="W433" i="2"/>
  <c r="W431" i="2"/>
  <c r="W580" i="2"/>
  <c r="W427" i="2"/>
  <c r="W115" i="2"/>
  <c r="W557" i="2"/>
  <c r="W302" i="2"/>
  <c r="W280" i="2"/>
  <c r="W187" i="2"/>
  <c r="W82" i="2"/>
  <c r="W214" i="2"/>
  <c r="W228" i="2"/>
  <c r="W105" i="2"/>
  <c r="W327" i="2"/>
  <c r="W297" i="2"/>
  <c r="W44" i="2"/>
  <c r="W204" i="2"/>
  <c r="W523" i="2"/>
  <c r="W613" i="2"/>
  <c r="W375" i="2"/>
  <c r="W129" i="2"/>
  <c r="W640" i="2"/>
  <c r="W63" i="2"/>
  <c r="W243" i="2"/>
  <c r="W498" i="2"/>
  <c r="W148" i="2"/>
  <c r="W404" i="2"/>
  <c r="W430" i="2"/>
  <c r="W230" i="2"/>
  <c r="W184" i="2"/>
  <c r="W440" i="2"/>
  <c r="W10" i="2"/>
  <c r="W265" i="2"/>
  <c r="W520" i="2"/>
  <c r="W145" i="2"/>
  <c r="W528" i="2"/>
  <c r="W136" i="2"/>
  <c r="W345" i="2"/>
  <c r="W244" i="2"/>
  <c r="W425" i="2"/>
  <c r="W470" i="2"/>
  <c r="W60" i="2"/>
  <c r="W315" i="2"/>
  <c r="W570" i="2"/>
  <c r="W220" i="2"/>
  <c r="W476" i="2"/>
  <c r="W501" i="2"/>
  <c r="W118" i="2"/>
  <c r="W465" i="2"/>
  <c r="W73" i="2"/>
  <c r="W275" i="2"/>
  <c r="W316" i="2"/>
  <c r="W305" i="2"/>
  <c r="W131" i="2"/>
  <c r="W387" i="2"/>
  <c r="W101" i="2"/>
  <c r="W356" i="2"/>
  <c r="W509" i="2"/>
  <c r="W217" i="2"/>
  <c r="W403" i="2"/>
  <c r="W616" i="2"/>
  <c r="W507" i="2"/>
  <c r="W560" i="2"/>
  <c r="W100" i="2"/>
  <c r="W355" i="2"/>
  <c r="W610" i="2"/>
  <c r="W260" i="2"/>
  <c r="W515" i="2"/>
  <c r="W541" i="2"/>
  <c r="W41" i="2"/>
  <c r="W58" i="2"/>
  <c r="W313" i="2"/>
  <c r="W568" i="2"/>
  <c r="W56" i="2"/>
  <c r="W502" i="2"/>
  <c r="W193" i="2"/>
  <c r="W211" i="2"/>
  <c r="W350" i="2"/>
  <c r="W444" i="2"/>
  <c r="W624" i="2"/>
  <c r="W171" i="2"/>
  <c r="W422" i="2"/>
  <c r="W335" i="2"/>
  <c r="W531" i="2"/>
  <c r="W137" i="2"/>
  <c r="W26" i="2"/>
  <c r="W7" i="2"/>
  <c r="W348" i="2"/>
  <c r="W499" i="2"/>
  <c r="W259" i="2"/>
  <c r="W318" i="2"/>
  <c r="W390" i="2"/>
  <c r="W190" i="2"/>
  <c r="U3" i="2"/>
  <c r="W3" i="2" s="1"/>
  <c r="W299" i="2"/>
  <c r="W639" i="2"/>
  <c r="W372" i="2"/>
  <c r="W159" i="2"/>
  <c r="W623" i="2"/>
  <c r="W64" i="2"/>
  <c r="W175" i="2"/>
  <c r="W271" i="2"/>
  <c r="W21" i="2"/>
  <c r="W332" i="2"/>
  <c r="W385" i="2"/>
  <c r="W276" i="2"/>
  <c r="W567" i="2"/>
  <c r="W637" i="2"/>
  <c r="W93" i="2"/>
  <c r="W547" i="2"/>
  <c r="W611" i="2"/>
  <c r="W475" i="2"/>
  <c r="W594" i="2"/>
  <c r="W554" i="2"/>
  <c r="W152" i="2"/>
  <c r="W607" i="2"/>
  <c r="W295" i="2"/>
  <c r="W107" i="2"/>
  <c r="W363" i="2"/>
  <c r="W618" i="2"/>
  <c r="W268" i="2"/>
  <c r="W587" i="2"/>
  <c r="W206" i="2"/>
  <c r="W566" i="2"/>
  <c r="W257" i="2"/>
  <c r="W52" i="2"/>
  <c r="W307" i="2"/>
  <c r="W562" i="2"/>
  <c r="W212" i="2"/>
  <c r="W468" i="2"/>
  <c r="W494" i="2"/>
  <c r="W270" i="2"/>
  <c r="W248" i="2"/>
  <c r="W503" i="2"/>
  <c r="W74" i="2"/>
  <c r="W329" i="2"/>
  <c r="W584" i="2"/>
  <c r="W209" i="2"/>
  <c r="W420" i="2"/>
  <c r="W126" i="2"/>
  <c r="W536" i="2"/>
  <c r="W627" i="2"/>
  <c r="W219" i="2"/>
  <c r="W369" i="2"/>
  <c r="W123" i="2"/>
  <c r="W379" i="2"/>
  <c r="W634" i="2"/>
  <c r="W284" i="2"/>
  <c r="W539" i="2"/>
  <c r="W565" i="2"/>
  <c r="W294" i="2"/>
  <c r="W592" i="2"/>
  <c r="W90" i="2"/>
  <c r="W116" i="2"/>
  <c r="W552" i="2"/>
  <c r="W533" i="2"/>
  <c r="W15" i="2"/>
  <c r="W195" i="2"/>
  <c r="W451" i="2"/>
  <c r="W164" i="2"/>
  <c r="W484" i="2"/>
  <c r="W573" i="2"/>
  <c r="W409" i="2"/>
  <c r="W53" i="2"/>
  <c r="W472" i="2"/>
  <c r="W155" i="2"/>
  <c r="W158" i="2"/>
  <c r="W163" i="2"/>
  <c r="W419" i="2"/>
  <c r="W69" i="2"/>
  <c r="W324" i="2"/>
  <c r="W579" i="2"/>
  <c r="W605" i="2"/>
  <c r="W121" i="2"/>
  <c r="W377" i="2"/>
  <c r="W632" i="2"/>
  <c r="W183" i="2"/>
  <c r="W630" i="2"/>
  <c r="W321" i="2"/>
  <c r="W180" i="2"/>
  <c r="W361" i="2"/>
  <c r="W597" i="2"/>
  <c r="W391" i="2"/>
  <c r="W154" i="2"/>
  <c r="J641" i="2" l="1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I586" i="2" s="1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I522" i="2" s="1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I467" i="2" s="1"/>
  <c r="J466" i="2"/>
  <c r="I466" i="2" s="1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I395" i="2" s="1"/>
  <c r="J394" i="2"/>
  <c r="J393" i="2"/>
  <c r="J392" i="2"/>
  <c r="J391" i="2"/>
  <c r="J390" i="2"/>
  <c r="J389" i="2"/>
  <c r="J388" i="2"/>
  <c r="J387" i="2"/>
  <c r="I387" i="2" s="1"/>
  <c r="J386" i="2"/>
  <c r="J385" i="2"/>
  <c r="J384" i="2"/>
  <c r="J383" i="2"/>
  <c r="J382" i="2"/>
  <c r="J381" i="2"/>
  <c r="J380" i="2"/>
  <c r="J379" i="2"/>
  <c r="I379" i="2" s="1"/>
  <c r="J378" i="2"/>
  <c r="J377" i="2"/>
  <c r="J376" i="2"/>
  <c r="J375" i="2"/>
  <c r="J374" i="2"/>
  <c r="J373" i="2"/>
  <c r="J372" i="2"/>
  <c r="J371" i="2"/>
  <c r="I371" i="2" s="1"/>
  <c r="J370" i="2"/>
  <c r="J369" i="2"/>
  <c r="J368" i="2"/>
  <c r="J367" i="2"/>
  <c r="J366" i="2"/>
  <c r="J365" i="2"/>
  <c r="J364" i="2"/>
  <c r="J363" i="2"/>
  <c r="I363" i="2" s="1"/>
  <c r="J362" i="2"/>
  <c r="J361" i="2"/>
  <c r="J360" i="2"/>
  <c r="J359" i="2"/>
  <c r="J358" i="2"/>
  <c r="J357" i="2"/>
  <c r="J356" i="2"/>
  <c r="J355" i="2"/>
  <c r="I355" i="2" s="1"/>
  <c r="J354" i="2"/>
  <c r="J353" i="2"/>
  <c r="J352" i="2"/>
  <c r="J351" i="2"/>
  <c r="J350" i="2"/>
  <c r="J349" i="2"/>
  <c r="J348" i="2"/>
  <c r="J347" i="2"/>
  <c r="I347" i="2" s="1"/>
  <c r="J346" i="2"/>
  <c r="J345" i="2"/>
  <c r="J344" i="2"/>
  <c r="J343" i="2"/>
  <c r="J342" i="2"/>
  <c r="J341" i="2"/>
  <c r="J340" i="2"/>
  <c r="J339" i="2"/>
  <c r="I339" i="2" s="1"/>
  <c r="J338" i="2"/>
  <c r="J337" i="2"/>
  <c r="J336" i="2"/>
  <c r="J335" i="2"/>
  <c r="J334" i="2"/>
  <c r="J333" i="2"/>
  <c r="J332" i="2"/>
  <c r="J331" i="2"/>
  <c r="I331" i="2" s="1"/>
  <c r="J330" i="2"/>
  <c r="J329" i="2"/>
  <c r="J328" i="2"/>
  <c r="J327" i="2"/>
  <c r="J326" i="2"/>
  <c r="J325" i="2"/>
  <c r="J324" i="2"/>
  <c r="J323" i="2"/>
  <c r="I323" i="2" s="1"/>
  <c r="J322" i="2"/>
  <c r="J321" i="2"/>
  <c r="J320" i="2"/>
  <c r="J319" i="2"/>
  <c r="J318" i="2"/>
  <c r="J317" i="2"/>
  <c r="J316" i="2"/>
  <c r="J315" i="2"/>
  <c r="I315" i="2" s="1"/>
  <c r="J314" i="2"/>
  <c r="J313" i="2"/>
  <c r="J312" i="2"/>
  <c r="J311" i="2"/>
  <c r="J310" i="2"/>
  <c r="J309" i="2"/>
  <c r="J308" i="2"/>
  <c r="J307" i="2"/>
  <c r="I307" i="2" s="1"/>
  <c r="J306" i="2"/>
  <c r="J305" i="2"/>
  <c r="J304" i="2"/>
  <c r="J303" i="2"/>
  <c r="J302" i="2"/>
  <c r="J301" i="2"/>
  <c r="J300" i="2"/>
  <c r="J299" i="2"/>
  <c r="I299" i="2" s="1"/>
  <c r="J298" i="2"/>
  <c r="J297" i="2"/>
  <c r="J296" i="2"/>
  <c r="J295" i="2"/>
  <c r="J294" i="2"/>
  <c r="J293" i="2"/>
  <c r="J292" i="2"/>
  <c r="J291" i="2"/>
  <c r="I291" i="2" s="1"/>
  <c r="J290" i="2"/>
  <c r="J289" i="2"/>
  <c r="J288" i="2"/>
  <c r="J287" i="2"/>
  <c r="J286" i="2"/>
  <c r="J285" i="2"/>
  <c r="J284" i="2"/>
  <c r="J283" i="2"/>
  <c r="I283" i="2" s="1"/>
  <c r="J282" i="2"/>
  <c r="J281" i="2"/>
  <c r="J280" i="2"/>
  <c r="J279" i="2"/>
  <c r="J278" i="2"/>
  <c r="J277" i="2"/>
  <c r="J276" i="2"/>
  <c r="J275" i="2"/>
  <c r="I275" i="2" s="1"/>
  <c r="J274" i="2"/>
  <c r="J273" i="2"/>
  <c r="J272" i="2"/>
  <c r="J271" i="2"/>
  <c r="J270" i="2"/>
  <c r="J269" i="2"/>
  <c r="J268" i="2"/>
  <c r="J267" i="2"/>
  <c r="I267" i="2" s="1"/>
  <c r="J266" i="2"/>
  <c r="J265" i="2"/>
  <c r="J264" i="2"/>
  <c r="J263" i="2"/>
  <c r="J262" i="2"/>
  <c r="J261" i="2"/>
  <c r="J260" i="2"/>
  <c r="J259" i="2"/>
  <c r="I259" i="2" s="1"/>
  <c r="J258" i="2"/>
  <c r="J257" i="2"/>
  <c r="J256" i="2"/>
  <c r="J255" i="2"/>
  <c r="J254" i="2"/>
  <c r="J253" i="2"/>
  <c r="J252" i="2"/>
  <c r="J251" i="2"/>
  <c r="I251" i="2" s="1"/>
  <c r="J250" i="2"/>
  <c r="J249" i="2"/>
  <c r="J248" i="2"/>
  <c r="J247" i="2"/>
  <c r="J246" i="2"/>
  <c r="J245" i="2"/>
  <c r="J244" i="2"/>
  <c r="J243" i="2"/>
  <c r="I243" i="2" s="1"/>
  <c r="J242" i="2"/>
  <c r="J241" i="2"/>
  <c r="J240" i="2"/>
  <c r="J239" i="2"/>
  <c r="J238" i="2"/>
  <c r="J237" i="2"/>
  <c r="J236" i="2"/>
  <c r="J235" i="2"/>
  <c r="I235" i="2" s="1"/>
  <c r="J234" i="2"/>
  <c r="J233" i="2"/>
  <c r="J232" i="2"/>
  <c r="J231" i="2"/>
  <c r="J230" i="2"/>
  <c r="J229" i="2"/>
  <c r="J228" i="2"/>
  <c r="J227" i="2"/>
  <c r="I227" i="2" s="1"/>
  <c r="J226" i="2"/>
  <c r="J225" i="2"/>
  <c r="J224" i="2"/>
  <c r="J223" i="2"/>
  <c r="J222" i="2"/>
  <c r="J221" i="2"/>
  <c r="J220" i="2"/>
  <c r="J219" i="2"/>
  <c r="I219" i="2" s="1"/>
  <c r="J218" i="2"/>
  <c r="J217" i="2"/>
  <c r="J216" i="2"/>
  <c r="J215" i="2"/>
  <c r="J214" i="2"/>
  <c r="J213" i="2"/>
  <c r="J212" i="2"/>
  <c r="J211" i="2"/>
  <c r="I211" i="2" s="1"/>
  <c r="J210" i="2"/>
  <c r="J209" i="2"/>
  <c r="J208" i="2"/>
  <c r="J207" i="2"/>
  <c r="J206" i="2"/>
  <c r="J205" i="2"/>
  <c r="J204" i="2"/>
  <c r="J203" i="2"/>
  <c r="I203" i="2" s="1"/>
  <c r="J202" i="2"/>
  <c r="J201" i="2"/>
  <c r="J200" i="2"/>
  <c r="J199" i="2"/>
  <c r="J198" i="2"/>
  <c r="J197" i="2"/>
  <c r="J196" i="2"/>
  <c r="J195" i="2"/>
  <c r="I195" i="2" s="1"/>
  <c r="J194" i="2"/>
  <c r="J193" i="2"/>
  <c r="J192" i="2"/>
  <c r="J191" i="2"/>
  <c r="J190" i="2"/>
  <c r="J189" i="2"/>
  <c r="J188" i="2"/>
  <c r="J187" i="2"/>
  <c r="I187" i="2" s="1"/>
  <c r="J186" i="2"/>
  <c r="J185" i="2"/>
  <c r="J184" i="2"/>
  <c r="J183" i="2"/>
  <c r="J182" i="2"/>
  <c r="J181" i="2"/>
  <c r="J180" i="2"/>
  <c r="J179" i="2"/>
  <c r="I179" i="2" s="1"/>
  <c r="J178" i="2"/>
  <c r="J177" i="2"/>
  <c r="J176" i="2"/>
  <c r="J175" i="2"/>
  <c r="J174" i="2"/>
  <c r="J173" i="2"/>
  <c r="J172" i="2"/>
  <c r="J171" i="2"/>
  <c r="I171" i="2" s="1"/>
  <c r="J170" i="2"/>
  <c r="J169" i="2"/>
  <c r="J168" i="2"/>
  <c r="J167" i="2"/>
  <c r="J166" i="2"/>
  <c r="J165" i="2"/>
  <c r="J164" i="2"/>
  <c r="J163" i="2"/>
  <c r="I163" i="2" s="1"/>
  <c r="J162" i="2"/>
  <c r="J161" i="2"/>
  <c r="J160" i="2"/>
  <c r="J159" i="2"/>
  <c r="J158" i="2"/>
  <c r="J157" i="2"/>
  <c r="J156" i="2"/>
  <c r="J155" i="2"/>
  <c r="I155" i="2" s="1"/>
  <c r="J154" i="2"/>
  <c r="J153" i="2"/>
  <c r="J152" i="2"/>
  <c r="J151" i="2"/>
  <c r="J150" i="2"/>
  <c r="J149" i="2"/>
  <c r="J148" i="2"/>
  <c r="J147" i="2"/>
  <c r="I147" i="2" s="1"/>
  <c r="J146" i="2"/>
  <c r="J145" i="2"/>
  <c r="J144" i="2"/>
  <c r="J143" i="2"/>
  <c r="J142" i="2"/>
  <c r="J141" i="2"/>
  <c r="J140" i="2"/>
  <c r="J139" i="2"/>
  <c r="I139" i="2" s="1"/>
  <c r="J138" i="2"/>
  <c r="J137" i="2"/>
  <c r="J136" i="2"/>
  <c r="J135" i="2"/>
  <c r="J134" i="2"/>
  <c r="J133" i="2"/>
  <c r="J132" i="2"/>
  <c r="J131" i="2"/>
  <c r="I131" i="2" s="1"/>
  <c r="J130" i="2"/>
  <c r="J129" i="2"/>
  <c r="J128" i="2"/>
  <c r="J127" i="2"/>
  <c r="J126" i="2"/>
  <c r="J125" i="2"/>
  <c r="J124" i="2"/>
  <c r="J123" i="2"/>
  <c r="I123" i="2" s="1"/>
  <c r="J122" i="2"/>
  <c r="J121" i="2"/>
  <c r="J120" i="2"/>
  <c r="J119" i="2"/>
  <c r="J118" i="2"/>
  <c r="J117" i="2"/>
  <c r="J116" i="2"/>
  <c r="J115" i="2"/>
  <c r="I115" i="2" s="1"/>
  <c r="J114" i="2"/>
  <c r="J113" i="2"/>
  <c r="J112" i="2"/>
  <c r="J111" i="2"/>
  <c r="J110" i="2"/>
  <c r="J109" i="2"/>
  <c r="J108" i="2"/>
  <c r="J107" i="2"/>
  <c r="I107" i="2" s="1"/>
  <c r="J106" i="2"/>
  <c r="J105" i="2"/>
  <c r="J104" i="2"/>
  <c r="J103" i="2"/>
  <c r="J102" i="2"/>
  <c r="J101" i="2"/>
  <c r="J100" i="2"/>
  <c r="J99" i="2"/>
  <c r="J98" i="2"/>
  <c r="J97" i="2"/>
  <c r="J96" i="2"/>
  <c r="J95" i="2"/>
  <c r="I95" i="2" s="1"/>
  <c r="J94" i="2"/>
  <c r="I94" i="2" s="1"/>
  <c r="J93" i="2"/>
  <c r="I93" i="2" s="1"/>
  <c r="J92" i="2"/>
  <c r="I92" i="2" s="1"/>
  <c r="J91" i="2"/>
  <c r="I91" i="2" s="1"/>
  <c r="J90" i="2"/>
  <c r="I90" i="2" s="1"/>
  <c r="J89" i="2"/>
  <c r="I89" i="2" s="1"/>
  <c r="J88" i="2"/>
  <c r="I88" i="2" s="1"/>
  <c r="J87" i="2"/>
  <c r="I87" i="2" s="1"/>
  <c r="J86" i="2"/>
  <c r="I86" i="2" s="1"/>
  <c r="J85" i="2"/>
  <c r="I85" i="2" s="1"/>
  <c r="J84" i="2"/>
  <c r="I84" i="2" s="1"/>
  <c r="J83" i="2"/>
  <c r="I83" i="2" s="1"/>
  <c r="J82" i="2"/>
  <c r="I82" i="2" s="1"/>
  <c r="J81" i="2"/>
  <c r="I81" i="2" s="1"/>
  <c r="J80" i="2"/>
  <c r="I80" i="2" s="1"/>
  <c r="J79" i="2"/>
  <c r="I79" i="2" s="1"/>
  <c r="J78" i="2"/>
  <c r="I78" i="2" s="1"/>
  <c r="J77" i="2"/>
  <c r="I77" i="2" s="1"/>
  <c r="J76" i="2"/>
  <c r="I76" i="2" s="1"/>
  <c r="J75" i="2"/>
  <c r="I75" i="2" s="1"/>
  <c r="J74" i="2"/>
  <c r="I74" i="2" s="1"/>
  <c r="J73" i="2"/>
  <c r="I73" i="2" s="1"/>
  <c r="J72" i="2"/>
  <c r="I72" i="2" s="1"/>
  <c r="J71" i="2"/>
  <c r="I71" i="2" s="1"/>
  <c r="J70" i="2"/>
  <c r="I70" i="2" s="1"/>
  <c r="J69" i="2"/>
  <c r="I69" i="2" s="1"/>
  <c r="J68" i="2"/>
  <c r="I68" i="2" s="1"/>
  <c r="J67" i="2"/>
  <c r="I67" i="2" s="1"/>
  <c r="J66" i="2"/>
  <c r="I66" i="2" s="1"/>
  <c r="J65" i="2"/>
  <c r="I65" i="2" s="1"/>
  <c r="J64" i="2"/>
  <c r="I64" i="2" s="1"/>
  <c r="J63" i="2"/>
  <c r="I63" i="2" s="1"/>
  <c r="J62" i="2"/>
  <c r="I62" i="2" s="1"/>
  <c r="J61" i="2"/>
  <c r="I61" i="2" s="1"/>
  <c r="J60" i="2"/>
  <c r="I60" i="2" s="1"/>
  <c r="J59" i="2"/>
  <c r="I59" i="2" s="1"/>
  <c r="J58" i="2"/>
  <c r="I58" i="2" s="1"/>
  <c r="J57" i="2"/>
  <c r="I57" i="2" s="1"/>
  <c r="J56" i="2"/>
  <c r="I56" i="2" s="1"/>
  <c r="J55" i="2"/>
  <c r="I55" i="2" s="1"/>
  <c r="J54" i="2"/>
  <c r="I54" i="2" s="1"/>
  <c r="J53" i="2"/>
  <c r="I53" i="2" s="1"/>
  <c r="J52" i="2"/>
  <c r="I52" i="2" s="1"/>
  <c r="J51" i="2"/>
  <c r="I51" i="2" s="1"/>
  <c r="J50" i="2"/>
  <c r="I50" i="2" s="1"/>
  <c r="J49" i="2"/>
  <c r="I49" i="2" s="1"/>
  <c r="J48" i="2"/>
  <c r="I48" i="2" s="1"/>
  <c r="J47" i="2"/>
  <c r="I47" i="2" s="1"/>
  <c r="J46" i="2"/>
  <c r="I46" i="2" s="1"/>
  <c r="J45" i="2"/>
  <c r="I45" i="2" s="1"/>
  <c r="J44" i="2"/>
  <c r="I44" i="2" s="1"/>
  <c r="J43" i="2"/>
  <c r="I43" i="2" s="1"/>
  <c r="J42" i="2"/>
  <c r="I42" i="2" s="1"/>
  <c r="J41" i="2"/>
  <c r="I41" i="2" s="1"/>
  <c r="J40" i="2"/>
  <c r="I40" i="2" s="1"/>
  <c r="J39" i="2"/>
  <c r="I39" i="2" s="1"/>
  <c r="J38" i="2"/>
  <c r="I38" i="2" s="1"/>
  <c r="J37" i="2"/>
  <c r="I37" i="2" s="1"/>
  <c r="J36" i="2"/>
  <c r="I36" i="2" s="1"/>
  <c r="J35" i="2"/>
  <c r="I35" i="2" s="1"/>
  <c r="J34" i="2"/>
  <c r="I34" i="2" s="1"/>
  <c r="J33" i="2"/>
  <c r="I33" i="2" s="1"/>
  <c r="J32" i="2"/>
  <c r="I32" i="2" s="1"/>
  <c r="J31" i="2"/>
  <c r="I31" i="2" s="1"/>
  <c r="J30" i="2"/>
  <c r="I30" i="2" s="1"/>
  <c r="J29" i="2"/>
  <c r="I29" i="2" s="1"/>
  <c r="J28" i="2"/>
  <c r="I28" i="2" s="1"/>
  <c r="J27" i="2"/>
  <c r="I27" i="2" s="1"/>
  <c r="J26" i="2"/>
  <c r="I26" i="2" s="1"/>
  <c r="J25" i="2"/>
  <c r="I25" i="2" s="1"/>
  <c r="J24" i="2"/>
  <c r="I24" i="2" s="1"/>
  <c r="J23" i="2"/>
  <c r="I23" i="2" s="1"/>
  <c r="J22" i="2"/>
  <c r="I22" i="2" s="1"/>
  <c r="J21" i="2"/>
  <c r="I21" i="2" s="1"/>
  <c r="J20" i="2"/>
  <c r="I20" i="2" s="1"/>
  <c r="J19" i="2"/>
  <c r="I19" i="2" s="1"/>
  <c r="J18" i="2"/>
  <c r="I18" i="2" s="1"/>
  <c r="J17" i="2"/>
  <c r="I17" i="2" s="1"/>
  <c r="J16" i="2"/>
  <c r="I16" i="2" s="1"/>
  <c r="J15" i="2"/>
  <c r="I15" i="2" s="1"/>
  <c r="J14" i="2"/>
  <c r="I14" i="2" s="1"/>
  <c r="J13" i="2"/>
  <c r="I13" i="2" s="1"/>
  <c r="J12" i="2"/>
  <c r="I12" i="2" s="1"/>
  <c r="J11" i="2"/>
  <c r="I11" i="2" s="1"/>
  <c r="J10" i="2"/>
  <c r="I10" i="2" s="1"/>
  <c r="J9" i="2"/>
  <c r="I9" i="2" s="1"/>
  <c r="J8" i="2"/>
  <c r="I8" i="2" s="1"/>
  <c r="J7" i="2"/>
  <c r="I7" i="2" s="1"/>
  <c r="J6" i="2"/>
  <c r="I6" i="2" s="1"/>
  <c r="J5" i="2"/>
  <c r="I5" i="2" s="1"/>
  <c r="J4" i="2"/>
  <c r="I4" i="2" s="1"/>
  <c r="J3" i="2"/>
  <c r="I3" i="2" s="1"/>
  <c r="H2" i="2"/>
  <c r="E642" i="2"/>
  <c r="I108" i="2" l="1"/>
  <c r="I116" i="2"/>
  <c r="I124" i="2"/>
  <c r="I132" i="2"/>
  <c r="I140" i="2"/>
  <c r="I148" i="2"/>
  <c r="I156" i="2"/>
  <c r="I164" i="2"/>
  <c r="I172" i="2"/>
  <c r="I180" i="2"/>
  <c r="I188" i="2"/>
  <c r="I196" i="2"/>
  <c r="I204" i="2"/>
  <c r="I212" i="2"/>
  <c r="I220" i="2"/>
  <c r="I228" i="2"/>
  <c r="I236" i="2"/>
  <c r="I244" i="2"/>
  <c r="I252" i="2"/>
  <c r="I260" i="2"/>
  <c r="I268" i="2"/>
  <c r="I276" i="2"/>
  <c r="I284" i="2"/>
  <c r="I292" i="2"/>
  <c r="I300" i="2"/>
  <c r="I308" i="2"/>
  <c r="I316" i="2"/>
  <c r="I324" i="2"/>
  <c r="I332" i="2"/>
  <c r="I340" i="2"/>
  <c r="I348" i="2"/>
  <c r="I356" i="2"/>
  <c r="I364" i="2"/>
  <c r="I372" i="2"/>
  <c r="I380" i="2"/>
  <c r="I388" i="2"/>
  <c r="I396" i="2"/>
  <c r="I404" i="2"/>
  <c r="I412" i="2"/>
  <c r="I420" i="2"/>
  <c r="I428" i="2"/>
  <c r="I436" i="2"/>
  <c r="I444" i="2"/>
  <c r="I452" i="2"/>
  <c r="I460" i="2"/>
  <c r="I468" i="2"/>
  <c r="I476" i="2"/>
  <c r="I484" i="2"/>
  <c r="I492" i="2"/>
  <c r="I499" i="2"/>
  <c r="I507" i="2"/>
  <c r="I515" i="2"/>
  <c r="I523" i="2"/>
  <c r="I531" i="2"/>
  <c r="I539" i="2"/>
  <c r="I547" i="2"/>
  <c r="I555" i="2"/>
  <c r="I563" i="2"/>
  <c r="I571" i="2"/>
  <c r="I579" i="2"/>
  <c r="I587" i="2"/>
  <c r="I595" i="2"/>
  <c r="I603" i="2"/>
  <c r="I611" i="2"/>
  <c r="I619" i="2"/>
  <c r="I627" i="2"/>
  <c r="I635" i="2"/>
  <c r="I459" i="2"/>
  <c r="I403" i="2"/>
  <c r="I411" i="2"/>
  <c r="I419" i="2"/>
  <c r="I427" i="2"/>
  <c r="I435" i="2"/>
  <c r="I443" i="2"/>
  <c r="I451" i="2"/>
  <c r="I475" i="2"/>
  <c r="I483" i="2"/>
  <c r="I491" i="2"/>
  <c r="I498" i="2"/>
  <c r="I506" i="2"/>
  <c r="I514" i="2"/>
  <c r="I530" i="2"/>
  <c r="I538" i="2"/>
  <c r="I546" i="2"/>
  <c r="I554" i="2"/>
  <c r="I562" i="2"/>
  <c r="I570" i="2"/>
  <c r="I578" i="2"/>
  <c r="I594" i="2"/>
  <c r="I602" i="2"/>
  <c r="I610" i="2"/>
  <c r="I618" i="2"/>
  <c r="I626" i="2"/>
  <c r="I634" i="2"/>
  <c r="I101" i="2"/>
  <c r="I100" i="2"/>
  <c r="I102" i="2"/>
  <c r="I109" i="2"/>
  <c r="I117" i="2"/>
  <c r="I125" i="2"/>
  <c r="I133" i="2"/>
  <c r="I141" i="2"/>
  <c r="I149" i="2"/>
  <c r="I157" i="2"/>
  <c r="I165" i="2"/>
  <c r="I173" i="2"/>
  <c r="I181" i="2"/>
  <c r="I189" i="2"/>
  <c r="I197" i="2"/>
  <c r="I205" i="2"/>
  <c r="I213" i="2"/>
  <c r="I221" i="2"/>
  <c r="I229" i="2"/>
  <c r="I237" i="2"/>
  <c r="I245" i="2"/>
  <c r="I253" i="2"/>
  <c r="I261" i="2"/>
  <c r="I269" i="2"/>
  <c r="I277" i="2"/>
  <c r="I285" i="2"/>
  <c r="I293" i="2"/>
  <c r="I301" i="2"/>
  <c r="I309" i="2"/>
  <c r="I317" i="2"/>
  <c r="I325" i="2"/>
  <c r="I333" i="2"/>
  <c r="I341" i="2"/>
  <c r="I349" i="2"/>
  <c r="I357" i="2"/>
  <c r="I365" i="2"/>
  <c r="I373" i="2"/>
  <c r="I381" i="2"/>
  <c r="I389" i="2"/>
  <c r="I397" i="2"/>
  <c r="I405" i="2"/>
  <c r="I413" i="2"/>
  <c r="I421" i="2"/>
  <c r="I429" i="2"/>
  <c r="I437" i="2"/>
  <c r="I445" i="2"/>
  <c r="I453" i="2"/>
  <c r="I461" i="2"/>
  <c r="I469" i="2"/>
  <c r="I477" i="2"/>
  <c r="I485" i="2"/>
  <c r="I493" i="2"/>
  <c r="I500" i="2"/>
  <c r="I508" i="2"/>
  <c r="I516" i="2"/>
  <c r="I524" i="2"/>
  <c r="I532" i="2"/>
  <c r="I540" i="2"/>
  <c r="I548" i="2"/>
  <c r="I556" i="2"/>
  <c r="I564" i="2"/>
  <c r="I572" i="2"/>
  <c r="I580" i="2"/>
  <c r="I588" i="2"/>
  <c r="I596" i="2"/>
  <c r="I604" i="2"/>
  <c r="I612" i="2"/>
  <c r="I620" i="2"/>
  <c r="I628" i="2"/>
  <c r="I636" i="2"/>
  <c r="I103" i="2"/>
  <c r="I110" i="2"/>
  <c r="I118" i="2"/>
  <c r="I126" i="2"/>
  <c r="I134" i="2"/>
  <c r="I142" i="2"/>
  <c r="I150" i="2"/>
  <c r="I158" i="2"/>
  <c r="I166" i="2"/>
  <c r="I174" i="2"/>
  <c r="I182" i="2"/>
  <c r="I190" i="2"/>
  <c r="I198" i="2"/>
  <c r="I206" i="2"/>
  <c r="I214" i="2"/>
  <c r="I222" i="2"/>
  <c r="I230" i="2"/>
  <c r="I238" i="2"/>
  <c r="I246" i="2"/>
  <c r="I254" i="2"/>
  <c r="I262" i="2"/>
  <c r="I270" i="2"/>
  <c r="I278" i="2"/>
  <c r="I286" i="2"/>
  <c r="I294" i="2"/>
  <c r="I302" i="2"/>
  <c r="I310" i="2"/>
  <c r="I318" i="2"/>
  <c r="I326" i="2"/>
  <c r="I334" i="2"/>
  <c r="I342" i="2"/>
  <c r="I350" i="2"/>
  <c r="I358" i="2"/>
  <c r="I366" i="2"/>
  <c r="I374" i="2"/>
  <c r="I382" i="2"/>
  <c r="I390" i="2"/>
  <c r="I398" i="2"/>
  <c r="I406" i="2"/>
  <c r="I414" i="2"/>
  <c r="I422" i="2"/>
  <c r="I430" i="2"/>
  <c r="I438" i="2"/>
  <c r="I446" i="2"/>
  <c r="I454" i="2"/>
  <c r="I462" i="2"/>
  <c r="I470" i="2"/>
  <c r="I478" i="2"/>
  <c r="I486" i="2"/>
  <c r="I494" i="2"/>
  <c r="I501" i="2"/>
  <c r="I509" i="2"/>
  <c r="I517" i="2"/>
  <c r="I525" i="2"/>
  <c r="I533" i="2"/>
  <c r="I541" i="2"/>
  <c r="I549" i="2"/>
  <c r="I557" i="2"/>
  <c r="I565" i="2"/>
  <c r="I573" i="2"/>
  <c r="I581" i="2"/>
  <c r="I589" i="2"/>
  <c r="I597" i="2"/>
  <c r="I605" i="2"/>
  <c r="I613" i="2"/>
  <c r="I621" i="2"/>
  <c r="I629" i="2"/>
  <c r="I637" i="2"/>
  <c r="I96" i="2"/>
  <c r="I104" i="2"/>
  <c r="I111" i="2"/>
  <c r="I119" i="2"/>
  <c r="I127" i="2"/>
  <c r="I135" i="2"/>
  <c r="I143" i="2"/>
  <c r="I151" i="2"/>
  <c r="I159" i="2"/>
  <c r="I167" i="2"/>
  <c r="I175" i="2"/>
  <c r="I183" i="2"/>
  <c r="I191" i="2"/>
  <c r="I199" i="2"/>
  <c r="I207" i="2"/>
  <c r="I215" i="2"/>
  <c r="I223" i="2"/>
  <c r="I231" i="2"/>
  <c r="I239" i="2"/>
  <c r="I247" i="2"/>
  <c r="I255" i="2"/>
  <c r="I263" i="2"/>
  <c r="I271" i="2"/>
  <c r="I279" i="2"/>
  <c r="I287" i="2"/>
  <c r="I295" i="2"/>
  <c r="I303" i="2"/>
  <c r="I311" i="2"/>
  <c r="I319" i="2"/>
  <c r="I327" i="2"/>
  <c r="I335" i="2"/>
  <c r="I343" i="2"/>
  <c r="I351" i="2"/>
  <c r="I359" i="2"/>
  <c r="I367" i="2"/>
  <c r="I375" i="2"/>
  <c r="I383" i="2"/>
  <c r="I391" i="2"/>
  <c r="I399" i="2"/>
  <c r="I407" i="2"/>
  <c r="I415" i="2"/>
  <c r="I423" i="2"/>
  <c r="I431" i="2"/>
  <c r="I439" i="2"/>
  <c r="I447" i="2"/>
  <c r="I455" i="2"/>
  <c r="I463" i="2"/>
  <c r="I471" i="2"/>
  <c r="I479" i="2"/>
  <c r="I487" i="2"/>
  <c r="I495" i="2"/>
  <c r="I502" i="2"/>
  <c r="I510" i="2"/>
  <c r="I518" i="2"/>
  <c r="I526" i="2"/>
  <c r="I534" i="2"/>
  <c r="I542" i="2"/>
  <c r="I550" i="2"/>
  <c r="I558" i="2"/>
  <c r="I566" i="2"/>
  <c r="I574" i="2"/>
  <c r="I582" i="2"/>
  <c r="I590" i="2"/>
  <c r="I598" i="2"/>
  <c r="I606" i="2"/>
  <c r="I614" i="2"/>
  <c r="I622" i="2"/>
  <c r="I630" i="2"/>
  <c r="I638" i="2"/>
  <c r="I97" i="2"/>
  <c r="I112" i="2"/>
  <c r="I120" i="2"/>
  <c r="I128" i="2"/>
  <c r="I136" i="2"/>
  <c r="I144" i="2"/>
  <c r="I152" i="2"/>
  <c r="I160" i="2"/>
  <c r="I168" i="2"/>
  <c r="I176" i="2"/>
  <c r="I184" i="2"/>
  <c r="I192" i="2"/>
  <c r="I200" i="2"/>
  <c r="I208" i="2"/>
  <c r="I216" i="2"/>
  <c r="I224" i="2"/>
  <c r="I232" i="2"/>
  <c r="I240" i="2"/>
  <c r="I248" i="2"/>
  <c r="I256" i="2"/>
  <c r="I264" i="2"/>
  <c r="I272" i="2"/>
  <c r="I280" i="2"/>
  <c r="I288" i="2"/>
  <c r="I296" i="2"/>
  <c r="I304" i="2"/>
  <c r="I312" i="2"/>
  <c r="I320" i="2"/>
  <c r="I328" i="2"/>
  <c r="I336" i="2"/>
  <c r="I344" i="2"/>
  <c r="I352" i="2"/>
  <c r="I360" i="2"/>
  <c r="I368" i="2"/>
  <c r="I376" i="2"/>
  <c r="I384" i="2"/>
  <c r="I392" i="2"/>
  <c r="I400" i="2"/>
  <c r="I408" i="2"/>
  <c r="I416" i="2"/>
  <c r="I424" i="2"/>
  <c r="I432" i="2"/>
  <c r="I440" i="2"/>
  <c r="I448" i="2"/>
  <c r="I456" i="2"/>
  <c r="I464" i="2"/>
  <c r="I472" i="2"/>
  <c r="I480" i="2"/>
  <c r="I488" i="2"/>
  <c r="I496" i="2"/>
  <c r="I503" i="2"/>
  <c r="I511" i="2"/>
  <c r="I519" i="2"/>
  <c r="I527" i="2"/>
  <c r="I535" i="2"/>
  <c r="I543" i="2"/>
  <c r="I551" i="2"/>
  <c r="I559" i="2"/>
  <c r="I567" i="2"/>
  <c r="I575" i="2"/>
  <c r="I583" i="2"/>
  <c r="I591" i="2"/>
  <c r="I599" i="2"/>
  <c r="I607" i="2"/>
  <c r="I615" i="2"/>
  <c r="I623" i="2"/>
  <c r="I631" i="2"/>
  <c r="I639" i="2"/>
  <c r="I98" i="2"/>
  <c r="I105" i="2"/>
  <c r="I113" i="2"/>
  <c r="I121" i="2"/>
  <c r="I129" i="2"/>
  <c r="I137" i="2"/>
  <c r="I145" i="2"/>
  <c r="I153" i="2"/>
  <c r="I161" i="2"/>
  <c r="I169" i="2"/>
  <c r="I177" i="2"/>
  <c r="I185" i="2"/>
  <c r="I193" i="2"/>
  <c r="I201" i="2"/>
  <c r="I209" i="2"/>
  <c r="I217" i="2"/>
  <c r="I225" i="2"/>
  <c r="I233" i="2"/>
  <c r="I241" i="2"/>
  <c r="I249" i="2"/>
  <c r="I257" i="2"/>
  <c r="I265" i="2"/>
  <c r="I273" i="2"/>
  <c r="I281" i="2"/>
  <c r="I289" i="2"/>
  <c r="I297" i="2"/>
  <c r="I305" i="2"/>
  <c r="I313" i="2"/>
  <c r="I321" i="2"/>
  <c r="I329" i="2"/>
  <c r="I337" i="2"/>
  <c r="I345" i="2"/>
  <c r="I353" i="2"/>
  <c r="I361" i="2"/>
  <c r="I369" i="2"/>
  <c r="I377" i="2"/>
  <c r="I385" i="2"/>
  <c r="I393" i="2"/>
  <c r="I401" i="2"/>
  <c r="I409" i="2"/>
  <c r="I417" i="2"/>
  <c r="I425" i="2"/>
  <c r="I433" i="2"/>
  <c r="I441" i="2"/>
  <c r="I449" i="2"/>
  <c r="I457" i="2"/>
  <c r="I465" i="2"/>
  <c r="I473" i="2"/>
  <c r="I481" i="2"/>
  <c r="I489" i="2"/>
  <c r="I497" i="2"/>
  <c r="I504" i="2"/>
  <c r="I512" i="2"/>
  <c r="I520" i="2"/>
  <c r="I528" i="2"/>
  <c r="I536" i="2"/>
  <c r="I544" i="2"/>
  <c r="I552" i="2"/>
  <c r="I560" i="2"/>
  <c r="I568" i="2"/>
  <c r="I576" i="2"/>
  <c r="I584" i="2"/>
  <c r="I592" i="2"/>
  <c r="I600" i="2"/>
  <c r="I608" i="2"/>
  <c r="I616" i="2"/>
  <c r="I624" i="2"/>
  <c r="I632" i="2"/>
  <c r="I640" i="2"/>
  <c r="I99" i="2"/>
  <c r="I106" i="2"/>
  <c r="I114" i="2"/>
  <c r="I122" i="2"/>
  <c r="I130" i="2"/>
  <c r="I138" i="2"/>
  <c r="I146" i="2"/>
  <c r="I154" i="2"/>
  <c r="I162" i="2"/>
  <c r="I170" i="2"/>
  <c r="I178" i="2"/>
  <c r="I186" i="2"/>
  <c r="I194" i="2"/>
  <c r="I202" i="2"/>
  <c r="I210" i="2"/>
  <c r="I218" i="2"/>
  <c r="I226" i="2"/>
  <c r="I234" i="2"/>
  <c r="I242" i="2"/>
  <c r="I250" i="2"/>
  <c r="I258" i="2"/>
  <c r="I266" i="2"/>
  <c r="I274" i="2"/>
  <c r="I282" i="2"/>
  <c r="I290" i="2"/>
  <c r="I298" i="2"/>
  <c r="I306" i="2"/>
  <c r="I314" i="2"/>
  <c r="I322" i="2"/>
  <c r="I330" i="2"/>
  <c r="I338" i="2"/>
  <c r="I346" i="2"/>
  <c r="I354" i="2"/>
  <c r="I362" i="2"/>
  <c r="I370" i="2"/>
  <c r="I378" i="2"/>
  <c r="I386" i="2"/>
  <c r="I394" i="2"/>
  <c r="I402" i="2"/>
  <c r="I410" i="2"/>
  <c r="I418" i="2"/>
  <c r="I426" i="2"/>
  <c r="I434" i="2"/>
  <c r="I442" i="2"/>
  <c r="I450" i="2"/>
  <c r="I458" i="2"/>
  <c r="I474" i="2"/>
  <c r="I482" i="2"/>
  <c r="I490" i="2"/>
  <c r="I505" i="2"/>
  <c r="I513" i="2"/>
  <c r="I521" i="2"/>
  <c r="I529" i="2"/>
  <c r="I537" i="2"/>
  <c r="I545" i="2"/>
  <c r="I553" i="2"/>
  <c r="I561" i="2"/>
  <c r="I569" i="2"/>
  <c r="I577" i="2"/>
  <c r="I585" i="2"/>
  <c r="I593" i="2"/>
  <c r="I601" i="2"/>
  <c r="I609" i="2"/>
  <c r="I617" i="2"/>
  <c r="I625" i="2"/>
  <c r="I633" i="2"/>
  <c r="I641" i="2"/>
  <c r="G642" i="2"/>
  <c r="H642" i="2"/>
  <c r="J642" i="2"/>
  <c r="M641" i="2" l="1"/>
  <c r="N641" i="2" l="1"/>
  <c r="M642" i="2"/>
  <c r="O641" i="2"/>
  <c r="P641" i="2" l="1"/>
  <c r="U641" i="2" l="1"/>
  <c r="Q641" i="2"/>
  <c r="V641" i="2" s="1"/>
  <c r="R2" i="2"/>
  <c r="S2" i="2" s="1"/>
  <c r="S642" i="2" s="1"/>
  <c r="O2" i="2"/>
  <c r="I642" i="2"/>
  <c r="F642" i="2"/>
  <c r="W641" i="2" l="1"/>
  <c r="O642" i="2"/>
  <c r="P2" i="2"/>
  <c r="K642" i="2"/>
  <c r="U2" i="2" l="1"/>
  <c r="Q2" i="2"/>
  <c r="Q642" i="2" s="1"/>
  <c r="P642" i="2"/>
  <c r="V2" i="2" l="1"/>
  <c r="V642" i="2" s="1"/>
  <c r="U642" i="2"/>
  <c r="W2" i="2" l="1"/>
  <c r="W642" i="2" s="1"/>
</calcChain>
</file>

<file path=xl/sharedStrings.xml><?xml version="1.0" encoding="utf-8"?>
<sst xmlns="http://schemas.openxmlformats.org/spreadsheetml/2006/main" count="2139" uniqueCount="771">
  <si>
    <t>Position</t>
  </si>
  <si>
    <t>Monthly Salary</t>
  </si>
  <si>
    <t>Department</t>
  </si>
  <si>
    <t>Annual Salary</t>
  </si>
  <si>
    <t>Employee ID</t>
  </si>
  <si>
    <t>Emp_001</t>
  </si>
  <si>
    <t>Emp_002</t>
  </si>
  <si>
    <t>Emp_003</t>
  </si>
  <si>
    <t>Emp_004</t>
  </si>
  <si>
    <t>Emp_005</t>
  </si>
  <si>
    <t>Emp_006</t>
  </si>
  <si>
    <t>Emp_007</t>
  </si>
  <si>
    <t>Emp_008</t>
  </si>
  <si>
    <t>Emp_009</t>
  </si>
  <si>
    <t>Emp_010</t>
  </si>
  <si>
    <t>Emp_011</t>
  </si>
  <si>
    <t>Emp_012</t>
  </si>
  <si>
    <t>Emp_013</t>
  </si>
  <si>
    <t>Emp_014</t>
  </si>
  <si>
    <t>Emp_015</t>
  </si>
  <si>
    <t>Emp_016</t>
  </si>
  <si>
    <t>Emp_017</t>
  </si>
  <si>
    <t>Emp_018</t>
  </si>
  <si>
    <t>Emp_019</t>
  </si>
  <si>
    <t>Emp_020</t>
  </si>
  <si>
    <t>Emp_021</t>
  </si>
  <si>
    <t>Emp_022</t>
  </si>
  <si>
    <t>Emp_023</t>
  </si>
  <si>
    <t>Emp_024</t>
  </si>
  <si>
    <t>Emp_025</t>
  </si>
  <si>
    <t>Emp_026</t>
  </si>
  <si>
    <t>Emp_027</t>
  </si>
  <si>
    <t>Emp_028</t>
  </si>
  <si>
    <t>Emp_029</t>
  </si>
  <si>
    <t>Emp_030</t>
  </si>
  <si>
    <t>Emp_031</t>
  </si>
  <si>
    <t>Emp_032</t>
  </si>
  <si>
    <t>Emp_033</t>
  </si>
  <si>
    <t>Emp_034</t>
  </si>
  <si>
    <t>Emp_035</t>
  </si>
  <si>
    <t>Emp_036</t>
  </si>
  <si>
    <t>Emp_037</t>
  </si>
  <si>
    <t>Emp_038</t>
  </si>
  <si>
    <t>Emp_039</t>
  </si>
  <si>
    <t>Emp_040</t>
  </si>
  <si>
    <t>Emp_041</t>
  </si>
  <si>
    <t>Emp_042</t>
  </si>
  <si>
    <t>Emp_043</t>
  </si>
  <si>
    <t>Emp_044</t>
  </si>
  <si>
    <t>Emp_045</t>
  </si>
  <si>
    <t>Emp_046</t>
  </si>
  <si>
    <t>Emp_047</t>
  </si>
  <si>
    <t>Emp_048</t>
  </si>
  <si>
    <t>Emp_049</t>
  </si>
  <si>
    <t>Emp_050</t>
  </si>
  <si>
    <t>Emp_051</t>
  </si>
  <si>
    <t>Emp_052</t>
  </si>
  <si>
    <t>Emp_053</t>
  </si>
  <si>
    <t>Emp_054</t>
  </si>
  <si>
    <t>Emp_055</t>
  </si>
  <si>
    <t>Emp_056</t>
  </si>
  <si>
    <t>Emp_057</t>
  </si>
  <si>
    <t>Emp_058</t>
  </si>
  <si>
    <t>Emp_059</t>
  </si>
  <si>
    <t>Emp_060</t>
  </si>
  <si>
    <t>Emp_061</t>
  </si>
  <si>
    <t>Emp_062</t>
  </si>
  <si>
    <t>Emp_063</t>
  </si>
  <si>
    <t>Emp_064</t>
  </si>
  <si>
    <t>Emp_065</t>
  </si>
  <si>
    <t>Emp_066</t>
  </si>
  <si>
    <t>Emp_067</t>
  </si>
  <si>
    <t>Emp_068</t>
  </si>
  <si>
    <t>Emp_069</t>
  </si>
  <si>
    <t>Emp_070</t>
  </si>
  <si>
    <t>Emp_071</t>
  </si>
  <si>
    <t>Emp_072</t>
  </si>
  <si>
    <t>Emp_073</t>
  </si>
  <si>
    <t>Emp_074</t>
  </si>
  <si>
    <t>Emp_075</t>
  </si>
  <si>
    <t>Emp_076</t>
  </si>
  <si>
    <t>Emp_077</t>
  </si>
  <si>
    <t>Emp_078</t>
  </si>
  <si>
    <t>Emp_079</t>
  </si>
  <si>
    <t>Emp_080</t>
  </si>
  <si>
    <t>Emp_081</t>
  </si>
  <si>
    <t>Emp_082</t>
  </si>
  <si>
    <t>Emp_083</t>
  </si>
  <si>
    <t>Emp_084</t>
  </si>
  <si>
    <t>Emp_085</t>
  </si>
  <si>
    <t>Emp_086</t>
  </si>
  <si>
    <t>Emp_087</t>
  </si>
  <si>
    <t>Emp_088</t>
  </si>
  <si>
    <t>Emp_089</t>
  </si>
  <si>
    <t>Emp_090</t>
  </si>
  <si>
    <t>Emp_091</t>
  </si>
  <si>
    <t>Emp_092</t>
  </si>
  <si>
    <t>Emp_093</t>
  </si>
  <si>
    <t>Emp_094</t>
  </si>
  <si>
    <t>Emp_095</t>
  </si>
  <si>
    <t>Emp_096</t>
  </si>
  <si>
    <t>Emp_097</t>
  </si>
  <si>
    <t>Emp_098</t>
  </si>
  <si>
    <t>Emp_099</t>
  </si>
  <si>
    <t>Emp_100</t>
  </si>
  <si>
    <t>Emp_101</t>
  </si>
  <si>
    <t>Emp_102</t>
  </si>
  <si>
    <t>Emp_103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</si>
  <si>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</si>
  <si>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</si>
  <si>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</si>
  <si>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</si>
  <si>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</si>
  <si>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</si>
  <si>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</si>
  <si>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</si>
  <si>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</si>
  <si>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</si>
  <si>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</si>
  <si>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</si>
  <si>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</si>
  <si>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</si>
  <si>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</si>
  <si>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</si>
  <si>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Emp_121</t>
  </si>
  <si>
    <t>Emp_122</t>
  </si>
  <si>
    <t>Emp_123</t>
  </si>
  <si>
    <t>Emp_124</t>
  </si>
  <si>
    <t>Emp_125</t>
  </si>
  <si>
    <t>Emp_126</t>
  </si>
  <si>
    <t>Emp_127</t>
  </si>
  <si>
    <t>Emp_128</t>
  </si>
  <si>
    <t>Emp_129</t>
  </si>
  <si>
    <t>Emp_130</t>
  </si>
  <si>
    <t>Emp_131</t>
  </si>
  <si>
    <t>Emp_132</t>
  </si>
  <si>
    <t>Emp_133</t>
  </si>
  <si>
    <t>Emp_134</t>
  </si>
  <si>
    <t>Emp_135</t>
  </si>
  <si>
    <t>Emp_136</t>
  </si>
  <si>
    <t>Emp_137</t>
  </si>
  <si>
    <t>Emp_138</t>
  </si>
  <si>
    <t>Emp_139</t>
  </si>
  <si>
    <t>Emp_140</t>
  </si>
  <si>
    <t>Emp_141</t>
  </si>
  <si>
    <t>Emp_142</t>
  </si>
  <si>
    <t>Emp_143</t>
  </si>
  <si>
    <t>Emp_144</t>
  </si>
  <si>
    <t>Emp_145</t>
  </si>
  <si>
    <t>Emp_146</t>
  </si>
  <si>
    <t>Emp_147</t>
  </si>
  <si>
    <t>Emp_148</t>
  </si>
  <si>
    <t>Emp_149</t>
  </si>
  <si>
    <t>Emp_150</t>
  </si>
  <si>
    <t>Emp_151</t>
  </si>
  <si>
    <t>Emp_152</t>
  </si>
  <si>
    <t>Emp_153</t>
  </si>
  <si>
    <t>Emp_154</t>
  </si>
  <si>
    <t>Emp_155</t>
  </si>
  <si>
    <t>Emp_156</t>
  </si>
  <si>
    <t>Emp_157</t>
  </si>
  <si>
    <t>Emp_158</t>
  </si>
  <si>
    <t>Emp_159</t>
  </si>
  <si>
    <t>Emp_160</t>
  </si>
  <si>
    <t>Emp_161</t>
  </si>
  <si>
    <t>Emp_162</t>
  </si>
  <si>
    <t>Emp_163</t>
  </si>
  <si>
    <t>Emp_164</t>
  </si>
  <si>
    <t>Emp_165</t>
  </si>
  <si>
    <t>Emp_166</t>
  </si>
  <si>
    <t>Emp_167</t>
  </si>
  <si>
    <t>Emp_168</t>
  </si>
  <si>
    <t>Emp_169</t>
  </si>
  <si>
    <t>Emp_170</t>
  </si>
  <si>
    <t>Emp_171</t>
  </si>
  <si>
    <t>Emp_172</t>
  </si>
  <si>
    <t>Emp_173</t>
  </si>
  <si>
    <t>Emp_174</t>
  </si>
  <si>
    <t>Emp_175</t>
  </si>
  <si>
    <t>Emp_176</t>
  </si>
  <si>
    <t>Emp_177</t>
  </si>
  <si>
    <t>Emp_178</t>
  </si>
  <si>
    <t>Emp_179</t>
  </si>
  <si>
    <t>Emp_180</t>
  </si>
  <si>
    <t>Emp_181</t>
  </si>
  <si>
    <t>Emp_182</t>
  </si>
  <si>
    <t>Emp_183</t>
  </si>
  <si>
    <t>Emp_184</t>
  </si>
  <si>
    <t>Emp_185</t>
  </si>
  <si>
    <t>Emp_186</t>
  </si>
  <si>
    <t>Emp_187</t>
  </si>
  <si>
    <t>Emp_188</t>
  </si>
  <si>
    <t>Emp_189</t>
  </si>
  <si>
    <t>Emp_190</t>
  </si>
  <si>
    <t>Emp_191</t>
  </si>
  <si>
    <t>Emp_192</t>
  </si>
  <si>
    <t>Emp_193</t>
  </si>
  <si>
    <t>Emp_194</t>
  </si>
  <si>
    <t>Emp_195</t>
  </si>
  <si>
    <t>Emp_196</t>
  </si>
  <si>
    <t>Emp_197</t>
  </si>
  <si>
    <t>Emp_198</t>
  </si>
  <si>
    <t>Emp_199</t>
  </si>
  <si>
    <t>Emp_200</t>
  </si>
  <si>
    <t>Emp_201</t>
  </si>
  <si>
    <t>Emp_202</t>
  </si>
  <si>
    <t>Emp_203</t>
  </si>
  <si>
    <t>Emp_204</t>
  </si>
  <si>
    <t>Emp_205</t>
  </si>
  <si>
    <t>Emp_206</t>
  </si>
  <si>
    <t>Emp_207</t>
  </si>
  <si>
    <t>Emp_208</t>
  </si>
  <si>
    <t>Emp_209</t>
  </si>
  <si>
    <t>Emp_210</t>
  </si>
  <si>
    <t>Emp_211</t>
  </si>
  <si>
    <t>Emp_212</t>
  </si>
  <si>
    <t>Emp_213</t>
  </si>
  <si>
    <t>Emp_214</t>
  </si>
  <si>
    <t>Emp_215</t>
  </si>
  <si>
    <t>Emp_216</t>
  </si>
  <si>
    <t>Emp_217</t>
  </si>
  <si>
    <t>Emp_218</t>
  </si>
  <si>
    <t>Emp_219</t>
  </si>
  <si>
    <t>Emp_220</t>
  </si>
  <si>
    <t>Emp_221</t>
  </si>
  <si>
    <t>Emp_222</t>
  </si>
  <si>
    <t>Emp_223</t>
  </si>
  <si>
    <t>Emp_224</t>
  </si>
  <si>
    <t>Emp_225</t>
  </si>
  <si>
    <t>Emp_226</t>
  </si>
  <si>
    <t>Emp_227</t>
  </si>
  <si>
    <t>Emp_228</t>
  </si>
  <si>
    <t>Emp_229</t>
  </si>
  <si>
    <t>Emp_230</t>
  </si>
  <si>
    <t>Emp_231</t>
  </si>
  <si>
    <t>Emp_232</t>
  </si>
  <si>
    <t>Emp_233</t>
  </si>
  <si>
    <t>Emp_234</t>
  </si>
  <si>
    <t>Emp_235</t>
  </si>
  <si>
    <t>Emp_236</t>
  </si>
  <si>
    <t>Emp_237</t>
  </si>
  <si>
    <t>Emp_238</t>
  </si>
  <si>
    <t>Emp_239</t>
  </si>
  <si>
    <t>Emp_240</t>
  </si>
  <si>
    <t>Emp_241</t>
  </si>
  <si>
    <t>Emp_242</t>
  </si>
  <si>
    <t>Emp_243</t>
  </si>
  <si>
    <t>Emp_244</t>
  </si>
  <si>
    <t>Emp_245</t>
  </si>
  <si>
    <t>Emp_246</t>
  </si>
  <si>
    <t>Emp_247</t>
  </si>
  <si>
    <t>Emp_248</t>
  </si>
  <si>
    <t>Emp_249</t>
  </si>
  <si>
    <t>Emp_250</t>
  </si>
  <si>
    <t>Emp_251</t>
  </si>
  <si>
    <t>Emp_252</t>
  </si>
  <si>
    <t>Emp_253</t>
  </si>
  <si>
    <t>Emp_254</t>
  </si>
  <si>
    <t>Emp_255</t>
  </si>
  <si>
    <t>Emp_256</t>
  </si>
  <si>
    <t>Emp_257</t>
  </si>
  <si>
    <t>Emp_258</t>
  </si>
  <si>
    <t>Emp_259</t>
  </si>
  <si>
    <t>Emp_260</t>
  </si>
  <si>
    <t>Emp_261</t>
  </si>
  <si>
    <t>Emp_262</t>
  </si>
  <si>
    <t>Emp_263</t>
  </si>
  <si>
    <t>Emp_264</t>
  </si>
  <si>
    <t>Emp_265</t>
  </si>
  <si>
    <t>Emp_266</t>
  </si>
  <si>
    <t>Emp_267</t>
  </si>
  <si>
    <t>Emp_268</t>
  </si>
  <si>
    <t>Emp_269</t>
  </si>
  <si>
    <t>Emp_270</t>
  </si>
  <si>
    <t>Emp_271</t>
  </si>
  <si>
    <t>Emp_272</t>
  </si>
  <si>
    <t>Emp_273</t>
  </si>
  <si>
    <t>Emp_274</t>
  </si>
  <si>
    <t>Emp_275</t>
  </si>
  <si>
    <t>Emp_276</t>
  </si>
  <si>
    <t>Emp_277</t>
  </si>
  <si>
    <t>Emp_278</t>
  </si>
  <si>
    <t>Emp_279</t>
  </si>
  <si>
    <t>Emp_280</t>
  </si>
  <si>
    <t>Emp_281</t>
  </si>
  <si>
    <t>Emp_282</t>
  </si>
  <si>
    <t>Emp_283</t>
  </si>
  <si>
    <t>Emp_284</t>
  </si>
  <si>
    <t>Emp_285</t>
  </si>
  <si>
    <t>Emp_286</t>
  </si>
  <si>
    <t>Emp_287</t>
  </si>
  <si>
    <t>Emp_288</t>
  </si>
  <si>
    <t>Emp_289</t>
  </si>
  <si>
    <t>Emp_290</t>
  </si>
  <si>
    <t>Emp_291</t>
  </si>
  <si>
    <t>Emp_292</t>
  </si>
  <si>
    <t>Emp_293</t>
  </si>
  <si>
    <t>Emp_294</t>
  </si>
  <si>
    <t>Emp_295</t>
  </si>
  <si>
    <t>Emp_296</t>
  </si>
  <si>
    <t>Emp_297</t>
  </si>
  <si>
    <t>Emp_298</t>
  </si>
  <si>
    <t>Emp_299</t>
  </si>
  <si>
    <t>Emp_300</t>
  </si>
  <si>
    <t>Emp_301</t>
  </si>
  <si>
    <t>Emp_302</t>
  </si>
  <si>
    <t>Emp_303</t>
  </si>
  <si>
    <t>Emp_304</t>
  </si>
  <si>
    <t>Emp_305</t>
  </si>
  <si>
    <t>Emp_306</t>
  </si>
  <si>
    <t>Emp_307</t>
  </si>
  <si>
    <t>Emp_308</t>
  </si>
  <si>
    <t>Emp_309</t>
  </si>
  <si>
    <t>Emp_310</t>
  </si>
  <si>
    <t>Emp_311</t>
  </si>
  <si>
    <t>Emp_312</t>
  </si>
  <si>
    <t>Emp_313</t>
  </si>
  <si>
    <t>Emp_314</t>
  </si>
  <si>
    <t>Emp_315</t>
  </si>
  <si>
    <t>Emp_316</t>
  </si>
  <si>
    <t>Emp_317</t>
  </si>
  <si>
    <t>Emp_318</t>
  </si>
  <si>
    <t>Emp_319</t>
  </si>
  <si>
    <t>Emp_320</t>
  </si>
  <si>
    <t>Emp_321</t>
  </si>
  <si>
    <t>Emp_322</t>
  </si>
  <si>
    <t>Emp_323</t>
  </si>
  <si>
    <t>Emp_324</t>
  </si>
  <si>
    <t>Emp_325</t>
  </si>
  <si>
    <t>Emp_326</t>
  </si>
  <si>
    <t>Emp_327</t>
  </si>
  <si>
    <t>Emp_328</t>
  </si>
  <si>
    <t>Emp_329</t>
  </si>
  <si>
    <t>Emp_330</t>
  </si>
  <si>
    <t>Emp_331</t>
  </si>
  <si>
    <t>Emp_332</t>
  </si>
  <si>
    <t>Emp_333</t>
  </si>
  <si>
    <t>Emp_334</t>
  </si>
  <si>
    <t>Emp_335</t>
  </si>
  <si>
    <t>Emp_336</t>
  </si>
  <si>
    <t>Emp_337</t>
  </si>
  <si>
    <t>Emp_338</t>
  </si>
  <si>
    <t>Emp_339</t>
  </si>
  <si>
    <t>Emp_340</t>
  </si>
  <si>
    <t>Emp_341</t>
  </si>
  <si>
    <t>Emp_342</t>
  </si>
  <si>
    <t>Emp_343</t>
  </si>
  <si>
    <t>Emp_344</t>
  </si>
  <si>
    <t>Emp_345</t>
  </si>
  <si>
    <t>Emp_346</t>
  </si>
  <si>
    <t>Emp_347</t>
  </si>
  <si>
    <t>Emp_348</t>
  </si>
  <si>
    <t>Emp_349</t>
  </si>
  <si>
    <t>Emp_350</t>
  </si>
  <si>
    <t>Emp_351</t>
  </si>
  <si>
    <t>Emp_352</t>
  </si>
  <si>
    <t>Emp_353</t>
  </si>
  <si>
    <t>Emp_354</t>
  </si>
  <si>
    <t>Emp_355</t>
  </si>
  <si>
    <t>Emp_356</t>
  </si>
  <si>
    <t>Emp_357</t>
  </si>
  <si>
    <t>Emp_358</t>
  </si>
  <si>
    <t>Emp_359</t>
  </si>
  <si>
    <t>Emp_360</t>
  </si>
  <si>
    <t>Emp_361</t>
  </si>
  <si>
    <t>Emp_362</t>
  </si>
  <si>
    <t>Emp_363</t>
  </si>
  <si>
    <t>Emp_364</t>
  </si>
  <si>
    <t>Emp_365</t>
  </si>
  <si>
    <t>Emp_366</t>
  </si>
  <si>
    <t>Emp_367</t>
  </si>
  <si>
    <t>Emp_368</t>
  </si>
  <si>
    <t>Emp_369</t>
  </si>
  <si>
    <t>Emp_370</t>
  </si>
  <si>
    <t>Emp_371</t>
  </si>
  <si>
    <t>Emp_372</t>
  </si>
  <si>
    <t>Emp_373</t>
  </si>
  <si>
    <t>Emp_374</t>
  </si>
  <si>
    <t>Emp_375</t>
  </si>
  <si>
    <t>Emp_376</t>
  </si>
  <si>
    <t>Emp_377</t>
  </si>
  <si>
    <t>Emp_378</t>
  </si>
  <si>
    <t>Emp_379</t>
  </si>
  <si>
    <t>Emp_380</t>
  </si>
  <si>
    <t>Emp_381</t>
  </si>
  <si>
    <t>Emp_382</t>
  </si>
  <si>
    <t>Emp_383</t>
  </si>
  <si>
    <t>Emp_384</t>
  </si>
  <si>
    <t>Emp_385</t>
  </si>
  <si>
    <t>Emp_386</t>
  </si>
  <si>
    <t>Emp_387</t>
  </si>
  <si>
    <t>Emp_388</t>
  </si>
  <si>
    <t>Emp_389</t>
  </si>
  <si>
    <t>Emp_390</t>
  </si>
  <si>
    <t>Emp_391</t>
  </si>
  <si>
    <t>Emp_392</t>
  </si>
  <si>
    <t>Emp_393</t>
  </si>
  <si>
    <t>Emp_394</t>
  </si>
  <si>
    <t>Emp_395</t>
  </si>
  <si>
    <t>Emp_396</t>
  </si>
  <si>
    <t>Emp_397</t>
  </si>
  <si>
    <t>Emp_398</t>
  </si>
  <si>
    <t>Emp_399</t>
  </si>
  <si>
    <t>Emp_400</t>
  </si>
  <si>
    <t>Emp_401</t>
  </si>
  <si>
    <t>Emp_402</t>
  </si>
  <si>
    <t>Emp_403</t>
  </si>
  <si>
    <t>Emp_404</t>
  </si>
  <si>
    <t>Emp_405</t>
  </si>
  <si>
    <t>Emp_406</t>
  </si>
  <si>
    <t>Emp_407</t>
  </si>
  <si>
    <t>Emp_408</t>
  </si>
  <si>
    <t>Emp_409</t>
  </si>
  <si>
    <t>Emp_410</t>
  </si>
  <si>
    <t>Emp_411</t>
  </si>
  <si>
    <t>Emp_412</t>
  </si>
  <si>
    <t>Emp_413</t>
  </si>
  <si>
    <t>Emp_414</t>
  </si>
  <si>
    <t>Emp_415</t>
  </si>
  <si>
    <t>Emp_416</t>
  </si>
  <si>
    <t>Emp_417</t>
  </si>
  <si>
    <t>Emp_418</t>
  </si>
  <si>
    <t>Emp_419</t>
  </si>
  <si>
    <t>Emp_420</t>
  </si>
  <si>
    <t>Emp_421</t>
  </si>
  <si>
    <t>Emp_422</t>
  </si>
  <si>
    <t>Emp_423</t>
  </si>
  <si>
    <t>Emp_424</t>
  </si>
  <si>
    <t>Emp_425</t>
  </si>
  <si>
    <t>Emp_426</t>
  </si>
  <si>
    <t>Emp_427</t>
  </si>
  <si>
    <t>Emp_428</t>
  </si>
  <si>
    <t>Emp_429</t>
  </si>
  <si>
    <t>Emp_430</t>
  </si>
  <si>
    <t>Emp_431</t>
  </si>
  <si>
    <t>Emp_432</t>
  </si>
  <si>
    <t>Emp_433</t>
  </si>
  <si>
    <t>Emp_434</t>
  </si>
  <si>
    <t>Emp_435</t>
  </si>
  <si>
    <t>Emp_436</t>
  </si>
  <si>
    <t>Emp_437</t>
  </si>
  <si>
    <t>Emp_438</t>
  </si>
  <si>
    <t>Emp_439</t>
  </si>
  <si>
    <t>Emp_440</t>
  </si>
  <si>
    <t>Emp_441</t>
  </si>
  <si>
    <t>Emp_442</t>
  </si>
  <si>
    <t>Emp_443</t>
  </si>
  <si>
    <t>Emp_444</t>
  </si>
  <si>
    <t>Emp_445</t>
  </si>
  <si>
    <t>Emp_446</t>
  </si>
  <si>
    <t>Emp_447</t>
  </si>
  <si>
    <t>Emp_448</t>
  </si>
  <si>
    <t>Emp_449</t>
  </si>
  <si>
    <t>Emp_450</t>
  </si>
  <si>
    <t>Emp_451</t>
  </si>
  <si>
    <t>Emp_452</t>
  </si>
  <si>
    <t>Emp_453</t>
  </si>
  <si>
    <t>Emp_454</t>
  </si>
  <si>
    <t>Emp_455</t>
  </si>
  <si>
    <t>Emp_456</t>
  </si>
  <si>
    <t>Emp_457</t>
  </si>
  <si>
    <t>Emp_458</t>
  </si>
  <si>
    <t>Emp_459</t>
  </si>
  <si>
    <t>Emp_460</t>
  </si>
  <si>
    <t>Emp_461</t>
  </si>
  <si>
    <t>Emp_462</t>
  </si>
  <si>
    <t>Emp_463</t>
  </si>
  <si>
    <t>Emp_464</t>
  </si>
  <si>
    <t>Emp_465</t>
  </si>
  <si>
    <t>Emp_466</t>
  </si>
  <si>
    <t>Emp_467</t>
  </si>
  <si>
    <t>Emp_468</t>
  </si>
  <si>
    <t>Emp_469</t>
  </si>
  <si>
    <t>Emp_470</t>
  </si>
  <si>
    <t>Emp_471</t>
  </si>
  <si>
    <t>Emp_472</t>
  </si>
  <si>
    <t>Emp_473</t>
  </si>
  <si>
    <t>Emp_474</t>
  </si>
  <si>
    <t>Emp_475</t>
  </si>
  <si>
    <t>Emp_476</t>
  </si>
  <si>
    <t>Emp_477</t>
  </si>
  <si>
    <t>Emp_478</t>
  </si>
  <si>
    <t>Emp_479</t>
  </si>
  <si>
    <t>Emp_480</t>
  </si>
  <si>
    <t>Emp_481</t>
  </si>
  <si>
    <t>Emp_482</t>
  </si>
  <si>
    <t>Emp_483</t>
  </si>
  <si>
    <t>Emp_484</t>
  </si>
  <si>
    <t>Emp_485</t>
  </si>
  <si>
    <t>Emp_486</t>
  </si>
  <si>
    <t>Emp_487</t>
  </si>
  <si>
    <t>Emp_488</t>
  </si>
  <si>
    <t>Emp_489</t>
  </si>
  <si>
    <t>Emp_490</t>
  </si>
  <si>
    <t>Emp_491</t>
  </si>
  <si>
    <t>Emp_492</t>
  </si>
  <si>
    <t>Emp_493</t>
  </si>
  <si>
    <t>Emp_494</t>
  </si>
  <si>
    <t>Emp_495</t>
  </si>
  <si>
    <t>Emp_496</t>
  </si>
  <si>
    <t>Emp_497</t>
  </si>
  <si>
    <t>Emp_498</t>
  </si>
  <si>
    <t>Emp_499</t>
  </si>
  <si>
    <t>Emp_500</t>
  </si>
  <si>
    <t>Emp_501</t>
  </si>
  <si>
    <t>Emp_502</t>
  </si>
  <si>
    <t>Emp_503</t>
  </si>
  <si>
    <t>Emp_504</t>
  </si>
  <si>
    <t>Emp_505</t>
  </si>
  <si>
    <t>Emp_506</t>
  </si>
  <si>
    <t>Emp_507</t>
  </si>
  <si>
    <t>Emp_508</t>
  </si>
  <si>
    <t>Emp_509</t>
  </si>
  <si>
    <t>Emp_510</t>
  </si>
  <si>
    <t>Emp_511</t>
  </si>
  <si>
    <t>Emp_512</t>
  </si>
  <si>
    <t>Emp_513</t>
  </si>
  <si>
    <t>Emp_514</t>
  </si>
  <si>
    <t>Emp_515</t>
  </si>
  <si>
    <t>Emp_516</t>
  </si>
  <si>
    <t>Emp_517</t>
  </si>
  <si>
    <t>Emp_518</t>
  </si>
  <si>
    <t>Emp_519</t>
  </si>
  <si>
    <t>Emp_520</t>
  </si>
  <si>
    <t>Emp_521</t>
  </si>
  <si>
    <t>Emp_522</t>
  </si>
  <si>
    <t>Emp_523</t>
  </si>
  <si>
    <t>Emp_524</t>
  </si>
  <si>
    <t>Emp_525</t>
  </si>
  <si>
    <t>Emp_526</t>
  </si>
  <si>
    <t>Emp_527</t>
  </si>
  <si>
    <t>Emp_528</t>
  </si>
  <si>
    <t>Emp_529</t>
  </si>
  <si>
    <t>Emp_530</t>
  </si>
  <si>
    <t>Emp_531</t>
  </si>
  <si>
    <t>Emp_532</t>
  </si>
  <si>
    <t>Emp_533</t>
  </si>
  <si>
    <t>Emp_534</t>
  </si>
  <si>
    <t>Emp_535</t>
  </si>
  <si>
    <t>Emp_536</t>
  </si>
  <si>
    <t>Emp_537</t>
  </si>
  <si>
    <t>Emp_538</t>
  </si>
  <si>
    <t>Emp_539</t>
  </si>
  <si>
    <t>Emp_540</t>
  </si>
  <si>
    <t>Emp_541</t>
  </si>
  <si>
    <t>Emp_542</t>
  </si>
  <si>
    <t>Emp_543</t>
  </si>
  <si>
    <t>Emp_544</t>
  </si>
  <si>
    <t>Emp_545</t>
  </si>
  <si>
    <t>Emp_546</t>
  </si>
  <si>
    <t>Emp_547</t>
  </si>
  <si>
    <t>Emp_548</t>
  </si>
  <si>
    <t>Emp_549</t>
  </si>
  <si>
    <t>Emp_550</t>
  </si>
  <si>
    <t>Emp_551</t>
  </si>
  <si>
    <t>Emp_552</t>
  </si>
  <si>
    <t>Emp_553</t>
  </si>
  <si>
    <t>Emp_554</t>
  </si>
  <si>
    <t>Emp_555</t>
  </si>
  <si>
    <t>Emp_556</t>
  </si>
  <si>
    <t>Emp_557</t>
  </si>
  <si>
    <t>Emp_558</t>
  </si>
  <si>
    <t>Emp_559</t>
  </si>
  <si>
    <t>Emp_560</t>
  </si>
  <si>
    <t>Emp_561</t>
  </si>
  <si>
    <t>Emp_562</t>
  </si>
  <si>
    <t>Emp_563</t>
  </si>
  <si>
    <t>Emp_564</t>
  </si>
  <si>
    <t>Emp_565</t>
  </si>
  <si>
    <t>Emp_566</t>
  </si>
  <si>
    <t>Emp_567</t>
  </si>
  <si>
    <t>Emp_568</t>
  </si>
  <si>
    <t>Emp_569</t>
  </si>
  <si>
    <t>Emp_570</t>
  </si>
  <si>
    <t>Emp_571</t>
  </si>
  <si>
    <t>Emp_572</t>
  </si>
  <si>
    <t>Emp_573</t>
  </si>
  <si>
    <t>Emp_574</t>
  </si>
  <si>
    <t>Emp_575</t>
  </si>
  <si>
    <t>Emp_576</t>
  </si>
  <si>
    <t>Emp_577</t>
  </si>
  <si>
    <t>Emp_578</t>
  </si>
  <si>
    <t>Emp_579</t>
  </si>
  <si>
    <t>Emp_580</t>
  </si>
  <si>
    <t>Emp_581</t>
  </si>
  <si>
    <t>Emp_582</t>
  </si>
  <si>
    <t>Emp_583</t>
  </si>
  <si>
    <t>Emp_584</t>
  </si>
  <si>
    <t>Emp_585</t>
  </si>
  <si>
    <t>Emp_586</t>
  </si>
  <si>
    <t>Emp_587</t>
  </si>
  <si>
    <t>Emp_588</t>
  </si>
  <si>
    <t>Emp_589</t>
  </si>
  <si>
    <t>Emp_590</t>
  </si>
  <si>
    <t>Emp_591</t>
  </si>
  <si>
    <t>Emp_592</t>
  </si>
  <si>
    <t>Emp_593</t>
  </si>
  <si>
    <t>Emp_594</t>
  </si>
  <si>
    <t>Emp_595</t>
  </si>
  <si>
    <t>Emp_596</t>
  </si>
  <si>
    <t>Emp_597</t>
  </si>
  <si>
    <t>Emp_598</t>
  </si>
  <si>
    <t>Emp_599</t>
  </si>
  <si>
    <t>Emp_600</t>
  </si>
  <si>
    <t>Emp_601</t>
  </si>
  <si>
    <t>Emp_602</t>
  </si>
  <si>
    <t>Emp_603</t>
  </si>
  <si>
    <t>Emp_604</t>
  </si>
  <si>
    <t>Emp_605</t>
  </si>
  <si>
    <t>Emp_606</t>
  </si>
  <si>
    <t>Emp_607</t>
  </si>
  <si>
    <t>Emp_608</t>
  </si>
  <si>
    <t>Emp_609</t>
  </si>
  <si>
    <t>Emp_610</t>
  </si>
  <si>
    <t>Emp_611</t>
  </si>
  <si>
    <t>Emp_612</t>
  </si>
  <si>
    <t>Emp_613</t>
  </si>
  <si>
    <t>Emp_614</t>
  </si>
  <si>
    <t>Emp_615</t>
  </si>
  <si>
    <t>Emp_616</t>
  </si>
  <si>
    <t>Emp_617</t>
  </si>
  <si>
    <t>Emp_618</t>
  </si>
  <si>
    <t>Emp_619</t>
  </si>
  <si>
    <t>Emp_620</t>
  </si>
  <si>
    <t>Emp_621</t>
  </si>
  <si>
    <t>Emp_622</t>
  </si>
  <si>
    <t>Emp_623</t>
  </si>
  <si>
    <t>Emp_624</t>
  </si>
  <si>
    <t>Emp_625</t>
  </si>
  <si>
    <t>Emp_626</t>
  </si>
  <si>
    <t>Emp_627</t>
  </si>
  <si>
    <t>Emp_628</t>
  </si>
  <si>
    <t>Emp_629</t>
  </si>
  <si>
    <t>Emp_630</t>
  </si>
  <si>
    <t>Emp_631</t>
  </si>
  <si>
    <t>Emp_632</t>
  </si>
  <si>
    <t>Emp_633</t>
  </si>
  <si>
    <t>Emp_634</t>
  </si>
  <si>
    <t>Emp_635</t>
  </si>
  <si>
    <t>Emp_636</t>
  </si>
  <si>
    <t>Emp_637</t>
  </si>
  <si>
    <t>Emp_638</t>
  </si>
  <si>
    <t>Emp_639</t>
  </si>
  <si>
    <t>Emp_640</t>
  </si>
  <si>
    <t>Emp_641</t>
  </si>
  <si>
    <t>Administration</t>
  </si>
  <si>
    <t>Pricing &amp; Accounting</t>
  </si>
  <si>
    <t>Construction &amp; Maintenance</t>
  </si>
  <si>
    <t>Engineering &amp; Design</t>
  </si>
  <si>
    <t>Design</t>
  </si>
  <si>
    <t>Engineering</t>
  </si>
  <si>
    <t>Economic Security</t>
  </si>
  <si>
    <t>Building Operations № 1</t>
  </si>
  <si>
    <t>Building Operations № 2</t>
  </si>
  <si>
    <t>Building Operations № 3</t>
  </si>
  <si>
    <t>Fire &amp; Safety Systems</t>
  </si>
  <si>
    <t>Elevator Operations</t>
  </si>
  <si>
    <t>Building Automation</t>
  </si>
  <si>
    <t>Emergency Maintenance</t>
  </si>
  <si>
    <t>Coordination Office</t>
  </si>
  <si>
    <t>Remote Offices</t>
  </si>
  <si>
    <t>Special Facility</t>
  </si>
  <si>
    <t>Energy Management</t>
  </si>
  <si>
    <t>Design Council</t>
  </si>
  <si>
    <t>Facilities</t>
  </si>
  <si>
    <t>Grounds &amp; Landscaping</t>
  </si>
  <si>
    <t>Administrative Services</t>
  </si>
  <si>
    <t>Emergency &amp; Fire Safety</t>
  </si>
  <si>
    <t>Finance</t>
  </si>
  <si>
    <t>Operations</t>
  </si>
  <si>
    <t>№</t>
  </si>
  <si>
    <t>Funding Management</t>
  </si>
  <si>
    <t>Information Security &amp; IT</t>
  </si>
  <si>
    <t>Fleet &amp; Cleaning Operations</t>
  </si>
  <si>
    <t>Support Services</t>
  </si>
  <si>
    <t>Human Resources</t>
  </si>
  <si>
    <t>Project Engineering 1</t>
  </si>
  <si>
    <t>Project Engineering 2</t>
  </si>
  <si>
    <t>Procurement &amp; Supply</t>
  </si>
  <si>
    <t>Procurement</t>
  </si>
  <si>
    <t>Occupational Safety</t>
  </si>
  <si>
    <t>Quality Control</t>
  </si>
  <si>
    <t>Base Salary (Monthly)</t>
  </si>
  <si>
    <t>Security Clearance Allowance</t>
  </si>
  <si>
    <t>Performance Bonus</t>
  </si>
  <si>
    <t>Salary Indexation (8%)</t>
  </si>
  <si>
    <t>KPI Bonus (%)</t>
  </si>
  <si>
    <t>Annual KPI Bonus Reserve</t>
  </si>
  <si>
    <t>Payroll Taxes (KPI Bonus)</t>
  </si>
  <si>
    <t>Annual Salary + KPI Bonus</t>
  </si>
  <si>
    <t>Vacation Reserve</t>
  </si>
  <si>
    <t>11-Month Salary</t>
  </si>
  <si>
    <t>Payroll Taxes (Salary)</t>
  </si>
  <si>
    <t>Health Insurance</t>
  </si>
  <si>
    <t>Total Payroll</t>
  </si>
  <si>
    <t>Total Payroll Taxes</t>
  </si>
  <si>
    <t>Total Compensation Cost</t>
  </si>
  <si>
    <t>Chief Executive Officer</t>
  </si>
  <si>
    <t>Assistant</t>
  </si>
  <si>
    <t>Advisor</t>
  </si>
  <si>
    <t>First Deputy CEO – Department Director</t>
  </si>
  <si>
    <t>Advisor to the First Deputy CEO – Department Director</t>
  </si>
  <si>
    <t>Department Director Assistant</t>
  </si>
  <si>
    <t>Department Manager</t>
  </si>
  <si>
    <t>Deputy Department Manager</t>
  </si>
  <si>
    <t>Senior Specialist</t>
  </si>
  <si>
    <t>Department Director</t>
  </si>
  <si>
    <t>Deputy Department Director – Head of Division</t>
  </si>
  <si>
    <t>Lead Specialist</t>
  </si>
  <si>
    <t>Senior Engineer</t>
  </si>
  <si>
    <t>Specialist</t>
  </si>
  <si>
    <t>Building Maintenance Technician</t>
  </si>
  <si>
    <t>Carpenter</t>
  </si>
  <si>
    <t>Head of Division</t>
  </si>
  <si>
    <t>Deputy Head of Division</t>
  </si>
  <si>
    <t>Project Manager</t>
  </si>
  <si>
    <t>Deputy CEO – Department Manager</t>
  </si>
  <si>
    <t>Chief Engineer</t>
  </si>
  <si>
    <t>Electrical Maintenance Technician</t>
  </si>
  <si>
    <t>Plumber</t>
  </si>
  <si>
    <t>HVAC Maintenance Technician</t>
  </si>
  <si>
    <t>Administrator</t>
  </si>
  <si>
    <t>Director</t>
  </si>
  <si>
    <t>Deputy Director</t>
  </si>
  <si>
    <t>Engineer</t>
  </si>
  <si>
    <t>Elevator Mechanic</t>
  </si>
  <si>
    <t>Welder</t>
  </si>
  <si>
    <t>Operator</t>
  </si>
  <si>
    <t>Janitor</t>
  </si>
  <si>
    <t>Chief Power Engineer</t>
  </si>
  <si>
    <t>Deputy Chief Power Engineer</t>
  </si>
  <si>
    <t>Deputy CEO for Operations</t>
  </si>
  <si>
    <t>Assistant to the Deputy CEO</t>
  </si>
  <si>
    <t>Custodian</t>
  </si>
  <si>
    <t>Linen Room Attendant</t>
  </si>
  <si>
    <t>Rigger</t>
  </si>
  <si>
    <t>Senior Rigger</t>
  </si>
  <si>
    <t>General Laborer</t>
  </si>
  <si>
    <t>Groundskeeper</t>
  </si>
  <si>
    <t>Senior Administrator</t>
  </si>
  <si>
    <t>Cloakroom Attendant</t>
  </si>
  <si>
    <t>Clock Mechanic</t>
  </si>
  <si>
    <t>Team Lead</t>
  </si>
  <si>
    <t xml:space="preserve">Deputy Department Manager </t>
  </si>
  <si>
    <t>Deputy CEO for HR and Project Management</t>
  </si>
  <si>
    <t>Lead Security Compliance Specialist</t>
  </si>
  <si>
    <t>Deputy Team Lead</t>
  </si>
  <si>
    <t>Driver</t>
  </si>
  <si>
    <t>Cleaning Machine Operator</t>
  </si>
  <si>
    <t>Deputy Head of Division – Department Manager</t>
  </si>
  <si>
    <t>Lead Litigation Counsel</t>
  </si>
  <si>
    <t>Occupational Safety Engineer</t>
  </si>
  <si>
    <t>Security Compliance Specialist</t>
  </si>
  <si>
    <t>Lead Civil Defense &amp; Emergency Specialist</t>
  </si>
  <si>
    <t>Job Function</t>
  </si>
  <si>
    <t>Executive</t>
  </si>
  <si>
    <t>Management</t>
  </si>
  <si>
    <t>Professional</t>
  </si>
  <si>
    <t>Technical</t>
  </si>
  <si>
    <t>Row Labels</t>
  </si>
  <si>
    <t>Grand Total</t>
  </si>
  <si>
    <t>Headcount by Job Function</t>
  </si>
  <si>
    <t>Payroll Cost by Department</t>
  </si>
  <si>
    <t>Sum of Total Compensation Cost</t>
  </si>
  <si>
    <t>Payroll by Job Function</t>
  </si>
  <si>
    <t>Average of Monthly Salary</t>
  </si>
  <si>
    <t>Average Salary by Job Function</t>
  </si>
  <si>
    <t>Total  Payroll</t>
  </si>
  <si>
    <t>Headcount</t>
  </si>
  <si>
    <t>Payroll Distribution by Job Function</t>
  </si>
  <si>
    <t>Payroll Taxes (Vacation)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</si>
</sst>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4" fontId="3" fillId="0" borderId="0" xfId="0" applyNumberFormat="1" applyFont="1"/>
    <xf numFmtId="10" fontId="3" fillId="0" borderId="0" xfId="0" applyNumberFormat="1" applyFont="1"/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4" fontId="0" fillId="0" borderId="2" xfId="0" applyNumberFormat="1" applyBorder="1"/>
    <xf numFmtId="4" fontId="1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10" fontId="0" fillId="0" borderId="1" xfId="0" applyNumberFormat="1" applyBorder="1"/>
    <xf numFmtId="4" fontId="0" fillId="0" borderId="3" xfId="0" applyNumberFormat="1" applyBorder="1"/>
    <xf numFmtId="10" fontId="0" fillId="0" borderId="1" xfId="0" applyNumberFormat="1" applyBorder="1" applyAlignment="1">
      <alignment wrapText="1"/>
    </xf>
    <xf numFmtId="0" fontId="6" fillId="0" borderId="1" xfId="0" applyFont="1" applyBorder="1" applyAlignment="1">
      <alignment horizontal="left" wrapText="1"/>
    </xf>
    <xf numFmtId="4" fontId="6" fillId="0" borderId="1" xfId="0" applyNumberFormat="1" applyFont="1" applyBorder="1"/>
    <xf numFmtId="10" fontId="6" fillId="0" borderId="1" xfId="0" applyNumberFormat="1" applyFont="1" applyBorder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 wrapText="1"/>
    </xf>
    <xf numFmtId="4" fontId="0" fillId="0" borderId="8" xfId="0" applyNumberFormat="1" applyBorder="1"/>
    <xf numFmtId="10" fontId="0" fillId="0" borderId="8" xfId="0" applyNumberFormat="1" applyBorder="1"/>
    <xf numFmtId="3" fontId="3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164" fontId="0" fillId="0" borderId="0" xfId="0" applyNumberForma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readingOrder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rgb="FF418CA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676BE"/>
      <color rgb="FF418CA3"/>
      <color rgb="FFCCFFFF"/>
      <color rgb="FFC61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Payroll Analytics.xlsx]Headcount!PivotTable1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Headcount!$B$3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Headcount!$A$4:$A$12</c:f>
              <c:strCache>
                <c:ptCount val="8"/>
                <c:pt idx="0">
                  <c:v>Professional</c:v>
                </c:pt>
                <c:pt idx="1">
                  <c:v>Facilities</c:v>
                </c:pt>
                <c:pt idx="2">
                  <c:v>Technical</c:v>
                </c:pt>
                <c:pt idx="3">
                  <c:v>Management</c:v>
                </c:pt>
                <c:pt idx="4">
                  <c:v>Engineering</c:v>
                </c:pt>
                <c:pt idx="5">
                  <c:v>Operations</c:v>
                </c:pt>
                <c:pt idx="6">
                  <c:v>Administration</c:v>
                </c:pt>
                <c:pt idx="7">
                  <c:v>Executive</c:v>
                </c:pt>
              </c:strCache>
            </c:strRef>
          </c:cat>
          <c:val>
            <c:numRef>
              <c:f>Headcount!$B$4:$B$12</c:f>
              <c:numCache>
                <c:formatCode>General</c:formatCode>
                <c:ptCount val="8"/>
                <c:pt idx="0">
                  <c:v>173</c:v>
                </c:pt>
                <c:pt idx="1">
                  <c:v>146</c:v>
                </c:pt>
                <c:pt idx="2">
                  <c:v>124</c:v>
                </c:pt>
                <c:pt idx="3">
                  <c:v>91</c:v>
                </c:pt>
                <c:pt idx="4">
                  <c:v>70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2-428B-9911-B8109E4C5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0844432"/>
        <c:axId val="1020838192"/>
        <c:axId val="0"/>
      </c:bar3DChart>
      <c:catAx>
        <c:axId val="102084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38192"/>
        <c:crosses val="autoZero"/>
        <c:auto val="1"/>
        <c:lblAlgn val="ctr"/>
        <c:lblOffset val="100"/>
        <c:noMultiLvlLbl val="0"/>
      </c:catAx>
      <c:valAx>
        <c:axId val="102083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Payroll Analytics.xlsx]Average_monthly salary!PivotTable4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'Average_monthly salary'!$B$3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'Average_monthly salary'!$A$4:$A$12</c:f>
              <c:strCache>
                <c:ptCount val="8"/>
                <c:pt idx="0">
                  <c:v>Administration</c:v>
                </c:pt>
                <c:pt idx="1">
                  <c:v>Engineering</c:v>
                </c:pt>
                <c:pt idx="2">
                  <c:v>Executive</c:v>
                </c:pt>
                <c:pt idx="3">
                  <c:v>Facilities</c:v>
                </c:pt>
                <c:pt idx="4">
                  <c:v>Management</c:v>
                </c:pt>
                <c:pt idx="5">
                  <c:v>Operations</c:v>
                </c:pt>
                <c:pt idx="6">
                  <c:v>Professional</c:v>
                </c:pt>
                <c:pt idx="7">
                  <c:v>Technical</c:v>
                </c:pt>
              </c:strCache>
            </c:strRef>
          </c:cat>
          <c:val>
            <c:numRef>
              <c:f>'Average_monthly salary'!$B$4:$B$12</c:f>
              <c:numCache>
                <c:formatCode>#,##0.00\ "₽"</c:formatCode>
                <c:ptCount val="8"/>
                <c:pt idx="0">
                  <c:v>201683.33333333334</c:v>
                </c:pt>
                <c:pt idx="1">
                  <c:v>149767.14285714287</c:v>
                </c:pt>
                <c:pt idx="2">
                  <c:v>395933.33333333331</c:v>
                </c:pt>
                <c:pt idx="3">
                  <c:v>54065.034246575342</c:v>
                </c:pt>
                <c:pt idx="4">
                  <c:v>233670.32967032967</c:v>
                </c:pt>
                <c:pt idx="5">
                  <c:v>72277.777777777781</c:v>
                </c:pt>
                <c:pt idx="6">
                  <c:v>132230.17341040462</c:v>
                </c:pt>
                <c:pt idx="7">
                  <c:v>95707.18548387097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A-4074-8CCE-0A7FA3BC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7597616"/>
        <c:axId val="1202364848"/>
        <c:axId val="0"/>
      </c:bar3DChart>
      <c:catAx>
        <c:axId val="10975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64848"/>
        <c:crosses val="autoZero"/>
        <c:auto val="1"/>
        <c:lblAlgn val="ctr"/>
        <c:lblOffset val="100"/>
        <c:noMultiLvlLbl val="0"/>
      </c:catAx>
      <c:valAx>
        <c:axId val="1202364848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Payroll Analytics.xlsx]Payroll_Job function!PivotTable3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87948381452319"/>
          <c:y val="5.6140350877192984E-2"/>
          <c:w val="0.53263888888888888"/>
          <c:h val="0.89707602339181292"/>
        </c:manualLayout>
      </c:layout>
      <c:doughnutChart>
        <c:varyColors val="1"/>
        <c:ser>
          <c:idx val="0"/>
          <c:order val="0"/>
          <c:tx>
            <c:strRef>
              <c:f>'Payroll_Job function'!$B$3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F6-4B59-A249-FA2700B24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F6-4B59-A249-FA2700B24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F6-4B59-A249-FA2700B24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F6-4B59-A249-FA2700B249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F6-4B59-A249-FA2700B249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F6-4B59-A249-FA2700B249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F6-4B59-A249-FA2700B249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F6-4B59-A249-FA2700B24920}"/>
              </c:ext>
            </c:extLst>
          </c:dPt>
          <c:cat>
            <c:strRef>
              <c:f>'Payroll_Job function'!$A$4:$A$12</c:f>
              <c:strCache>
                <c:ptCount val="8"/>
                <c:pt idx="0">
                  <c:v>Administration</c:v>
                </c:pt>
                <c:pt idx="1">
                  <c:v>Engineering</c:v>
                </c:pt>
                <c:pt idx="2">
                  <c:v>Executive</c:v>
                </c:pt>
                <c:pt idx="3">
                  <c:v>Facilities</c:v>
                </c:pt>
                <c:pt idx="4">
                  <c:v>Management</c:v>
                </c:pt>
                <c:pt idx="5">
                  <c:v>Operations</c:v>
                </c:pt>
                <c:pt idx="6">
                  <c:v>Professional</c:v>
                </c:pt>
                <c:pt idx="7">
                  <c:v>Technical</c:v>
                </c:pt>
              </c:strCache>
            </c:strRef>
          </c:cat>
          <c:val>
            <c:numRef>
              <c:f>'Payroll_Job function'!$B$4:$B$12</c:f>
              <c:numCache>
                <c:formatCode>#,##0.00\ "₽"</c:formatCode>
                <c:ptCount val="8"/>
                <c:pt idx="0">
                  <c:v>42385859.592832766</c:v>
                </c:pt>
                <c:pt idx="1">
                  <c:v>180914052.79808888</c:v>
                </c:pt>
                <c:pt idx="2">
                  <c:v>41185602.021023892</c:v>
                </c:pt>
                <c:pt idx="3">
                  <c:v>135766941.07013625</c:v>
                </c:pt>
                <c:pt idx="4">
                  <c:v>363875239.13371986</c:v>
                </c:pt>
                <c:pt idx="5">
                  <c:v>22160792.493788391</c:v>
                </c:pt>
                <c:pt idx="6">
                  <c:v>396095736.09529006</c:v>
                </c:pt>
                <c:pt idx="7">
                  <c:v>205796073.59100997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BF6-4B59-A249-FA2700B2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</xdr:colOff>
      <xdr:row>2</xdr:row>
      <xdr:rowOff>140970</xdr:rowOff>
    </xdr:from>
    <xdr:to>
      <xdr:col>7</xdr:col>
      <xdr:colOff>461010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F7E9D-3D2A-4449-9D99-C00DBC117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2</xdr:row>
      <xdr:rowOff>140970</xdr:rowOff>
    </xdr:from>
    <xdr:to>
      <xdr:col>17</xdr:col>
      <xdr:colOff>371475</xdr:colOff>
      <xdr:row>17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3C04C6-5E78-46DF-952C-CDC63C933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10886</xdr:colOff>
      <xdr:row>20</xdr:row>
      <xdr:rowOff>87086</xdr:rowOff>
    </xdr:from>
    <xdr:to>
      <xdr:col>14</xdr:col>
      <xdr:colOff>76200</xdr:colOff>
      <xdr:row>38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7D077-7728-4B72-AE5D-E9D467A66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истратор" refreshedDate="46095.847248379629" createdVersion="8" refreshedVersion="8" minRefreshableVersion="3" recordCount="640" xr:uid="{98167D14-F059-4806-93FA-5F77C59E477C}">
  <cacheSource type="worksheet">
    <worksheetSource name="Payroll_Data_Analysis"/>
  </cacheSource>
  <cacheFields count="23">
    <cacheField name="Department" numFmtId="0">
      <sharedItems count="36">
        <s v="Administration"/>
        <s v="Pricing &amp; Accounting"/>
        <s v="Construction &amp; Maintenance"/>
        <s v="Engineering &amp; Design"/>
        <s v="Design"/>
        <s v="Engineering"/>
        <s v="Economic Security"/>
        <s v="Building Operations № 1"/>
        <s v="Building Operations № 2"/>
        <s v="Building Operations № 3"/>
        <s v="Fire &amp; Safety Systems"/>
        <s v="Elevator Operations"/>
        <s v="Building Automation"/>
        <s v="Emergency Maintenance"/>
        <s v="Coordination Office"/>
        <s v="Special Facility"/>
        <s v="Remote Offices"/>
        <s v="Energy Management"/>
        <s v="Design Council"/>
        <s v="Facilities"/>
        <s v="Grounds &amp; Landscaping"/>
        <s v="Administrative Services"/>
        <s v="Emergency &amp; Fire Safety"/>
        <s v="Finance"/>
        <s v="Operations"/>
        <s v="Funding Management"/>
        <s v="Information Security &amp; IT"/>
        <s v="Fleet &amp; Cleaning Operations"/>
        <s v="Support Services"/>
        <s v="Human Resources"/>
        <s v="Project Engineering 1"/>
        <s v="Project Engineering 2"/>
        <s v="Procurement &amp; Supply"/>
        <s v="Procurement"/>
        <s v="Occupational Safety"/>
        <s v="Quality Control"/>
      </sharedItems>
    </cacheField>
    <cacheField name="Employee ID" numFmtId="0">
      <sharedItems/>
    </cacheField>
    <cacheField name="Position" numFmtId="0">
      <sharedItems/>
    </cacheField>
    <cacheField name="Job Function" numFmtId="0">
      <sharedItems count="8">
        <s v="Executive"/>
        <s v="Administration"/>
        <s v="Professional"/>
        <s v="Management"/>
        <s v="Engineering"/>
        <s v="Technical"/>
        <s v="Operations"/>
        <s v="Facilities"/>
      </sharedItems>
    </cacheField>
    <cacheField name="№" numFmtId="0">
      <sharedItems containsSemiMixedTypes="0" containsString="0" containsNumber="1" containsInteger="1" minValue="1" maxValue="1"/>
    </cacheField>
    <cacheField name="Monthly Salary" numFmtId="4">
      <sharedItems containsSemiMixedTypes="0" containsString="0" containsNumber="1" containsInteger="1" minValue="34760" maxValue="600000"/>
    </cacheField>
    <cacheField name="Base Salary (Monthly)" numFmtId="4">
      <sharedItems containsString="0" containsBlank="1" containsNumber="1" containsInteger="1" minValue="30000" maxValue="265000"/>
    </cacheField>
    <cacheField name="Security Clearance Allowance" numFmtId="4">
      <sharedItems containsString="0" containsBlank="1" containsNumber="1" containsInteger="1" minValue="14500" maxValue="26500"/>
    </cacheField>
    <cacheField name="Performance Bonus" numFmtId="4">
      <sharedItems containsSemiMixedTypes="0" containsString="0" containsNumber="1" containsInteger="1" minValue="-20600" maxValue="287300"/>
    </cacheField>
    <cacheField name="Salary Indexation (8%)" numFmtId="4">
      <sharedItems containsSemiMixedTypes="0" containsString="0" containsNumber="1" containsInteger="1" minValue="0" maxValue="21200"/>
    </cacheField>
    <cacheField name="Annual Salary" numFmtId="4">
      <sharedItems containsSemiMixedTypes="0" containsString="0" containsNumber="1" containsInteger="1" minValue="417120" maxValue="7200000"/>
    </cacheField>
    <cacheField name="KPI Bonus (%)" numFmtId="10">
      <sharedItems containsSemiMixedTypes="0" containsString="0" containsNumber="1" minValue="0.12300000000000001" maxValue="0.38"/>
    </cacheField>
    <cacheField name="Annual KPI Bonus Reserve" numFmtId="4">
      <sharedItems containsSemiMixedTypes="0" containsString="0" containsNumber="1" minValue="0" maxValue="912000"/>
    </cacheField>
    <cacheField name="Payroll Taxes (KPI Bonus)" numFmtId="4">
      <sharedItems containsSemiMixedTypes="0" containsString="0" containsNumber="1" minValue="0" maxValue="275424"/>
    </cacheField>
    <cacheField name="Annual Salary + KPI Bonus" numFmtId="4">
      <sharedItems containsSemiMixedTypes="0" containsString="0" containsNumber="1" containsInteger="1" minValue="461400" maxValue="7591140"/>
    </cacheField>
    <cacheField name="Vacation Reserve" numFmtId="4">
      <sharedItems containsSemiMixedTypes="0" containsString="0" containsNumber="1" minValue="40680.887372013654" maxValue="669298.46416382247"/>
    </cacheField>
    <cacheField name="Payroll Taxes (Vacation" numFmtId="4">
      <sharedItems containsSemiMixedTypes="0" containsString="0" containsNumber="1" minValue="12285.627986348123" maxValue="202128.13617747437"/>
    </cacheField>
    <cacheField name="11-Month Salary" numFmtId="4">
      <sharedItems containsSemiMixedTypes="0" containsString="0" containsNumber="1" containsInteger="1" minValue="382360" maxValue="6600000"/>
    </cacheField>
    <cacheField name="Payroll Taxes (Salary)" numFmtId="4">
      <sharedItems containsSemiMixedTypes="0" containsString="0" containsNumber="1" minValue="115472.72" maxValue="1446429"/>
    </cacheField>
    <cacheField name="Health Insurance" numFmtId="4">
      <sharedItems containsSemiMixedTypes="0" containsString="0" containsNumber="1" containsInteger="1" minValue="35103" maxValue="69507"/>
    </cacheField>
    <cacheField name="Total Payroll" numFmtId="4">
      <sharedItems containsSemiMixedTypes="0" containsString="0" containsNumber="1" minValue="467320.88737201365" maxValue="7660438.4641638231"/>
    </cacheField>
    <cacheField name="Total Payroll Taxes" numFmtId="4">
      <sharedItems containsSemiMixedTypes="0" containsString="0" containsNumber="1" minValue="141130.90798634812" maxValue="1766681.4161774744"/>
    </cacheField>
    <cacheField name="Total Compensation Cost" numFmtId="4">
      <sharedItems containsSemiMixedTypes="0" containsString="0" containsNumber="1" minValue="608451.79535836179" maxValue="9427119.880341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s v="Emp_001"/>
    <s v="Chief Executive Officer"/>
    <x v="0"/>
    <n v="1"/>
    <n v="600000"/>
    <n v="265000"/>
    <n v="26500"/>
    <n v="287300"/>
    <n v="21200"/>
    <n v="7200000"/>
    <n v="0.38"/>
    <n v="391140.00000000006"/>
    <n v="118124.28000000001"/>
    <n v="7591140"/>
    <n v="669298.46416382247"/>
    <n v="202128.13617747437"/>
    <n v="6600000"/>
    <n v="1446429"/>
    <n v="69507"/>
    <n v="7660438.4641638231"/>
    <n v="1766681.4161774744"/>
    <n v="9427119.880341297"/>
  </r>
  <r>
    <x v="0"/>
    <s v="Emp_002"/>
    <s v="Assistant"/>
    <x v="1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0"/>
    <s v="Emp_003"/>
    <s v="Advisor"/>
    <x v="2"/>
    <n v="1"/>
    <n v="288000"/>
    <n v="145000"/>
    <m/>
    <n v="131400"/>
    <n v="11600"/>
    <n v="3456000"/>
    <n v="0.12300000000000001"/>
    <n v="214020"/>
    <n v="64634.04"/>
    <n v="3670020"/>
    <n v="323579.69283276447"/>
    <n v="97721.067235494862"/>
    <n v="3168000"/>
    <n v="928197"/>
    <n v="52684"/>
    <n v="3705599.6928327642"/>
    <n v="1090552.1072354948"/>
    <n v="4796151.8000682592"/>
  </r>
  <r>
    <x v="0"/>
    <s v="Emp_004"/>
    <s v="Advisor"/>
    <x v="2"/>
    <n v="1"/>
    <n v="120000"/>
    <n v="100000"/>
    <m/>
    <n v="12000"/>
    <n v="8000"/>
    <n v="1440000"/>
    <n v="0.12300000000000001"/>
    <n v="456000"/>
    <n v="137712"/>
    <n v="1896000"/>
    <n v="167167.23549488053"/>
    <n v="50484.505119453919"/>
    <n v="1320000"/>
    <n v="398640"/>
    <n v="35103"/>
    <n v="1943167.2354948805"/>
    <n v="586836.50511945388"/>
    <n v="2530003.7406143341"/>
  </r>
  <r>
    <x v="0"/>
    <s v="Emp_005"/>
    <s v="First Deputy CEO – Department Director"/>
    <x v="0"/>
    <n v="1"/>
    <n v="396000"/>
    <n v="200000"/>
    <m/>
    <n v="180000"/>
    <n v="16000"/>
    <n v="4752000"/>
    <n v="0.38"/>
    <n v="912000"/>
    <n v="275424"/>
    <n v="5664000"/>
    <n v="499385.66552901024"/>
    <n v="150814.47098976109"/>
    <n v="4356000"/>
    <n v="1107585"/>
    <n v="69507"/>
    <n v="5767385.6655290108"/>
    <n v="1533823.4709897609"/>
    <n v="7301209.1365187718"/>
  </r>
  <r>
    <x v="0"/>
    <s v="Emp_006"/>
    <s v="Advisor to the First Deputy CEO – Department Director"/>
    <x v="2"/>
    <n v="1"/>
    <n v="336000"/>
    <n v="200000"/>
    <m/>
    <n v="120000"/>
    <n v="16000"/>
    <n v="4032000"/>
    <n v="0.38"/>
    <n v="295200.00000000006"/>
    <n v="89150.400000000009"/>
    <n v="4327200"/>
    <n v="381522.18430034129"/>
    <n v="115219.69965870307"/>
    <n v="3696000"/>
    <n v="1007925"/>
    <n v="69507"/>
    <n v="4372722.1843003416"/>
    <n v="1212295.099658703"/>
    <n v="5585017.2839590441"/>
  </r>
  <r>
    <x v="0"/>
    <s v="Emp_007"/>
    <s v="Department Director Assistant"/>
    <x v="1"/>
    <n v="1"/>
    <n v="281000"/>
    <n v="145000"/>
    <m/>
    <n v="124400"/>
    <n v="11600"/>
    <n v="3372000"/>
    <n v="0.12300000000000001"/>
    <n v="214020"/>
    <n v="64634.04"/>
    <n v="3586020"/>
    <n v="316173.54948805459"/>
    <n v="95484.41194539248"/>
    <n v="3091000"/>
    <n v="916570"/>
    <n v="52684"/>
    <n v="3621193.5494880546"/>
    <n v="1076688.4519453924"/>
    <n v="4697882.001433447"/>
  </r>
  <r>
    <x v="0"/>
    <s v="Emp_008"/>
    <s v="Assistant"/>
    <x v="1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1"/>
    <s v="Emp_009"/>
    <s v="Department Manager"/>
    <x v="3"/>
    <n v="1"/>
    <n v="286000"/>
    <n v="145000"/>
    <m/>
    <n v="129400"/>
    <n v="11600"/>
    <n v="3432000"/>
    <n v="0.12300000000000001"/>
    <n v="214020"/>
    <n v="64634.04"/>
    <n v="3646020"/>
    <n v="321463.65187713312"/>
    <n v="97082.0228668942"/>
    <n v="3146000"/>
    <n v="924875"/>
    <n v="52684"/>
    <n v="3681483.6518771332"/>
    <n v="1086591.0628668943"/>
    <n v="4768074.7147440277"/>
  </r>
  <r>
    <x v="1"/>
    <s v="Emp_010"/>
    <s v="Deputy 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"/>
    <s v="Emp_011"/>
    <s v="Deputy Department Manager"/>
    <x v="3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"/>
    <s v="Emp_012"/>
    <s v="Senior Specialist"/>
    <x v="2"/>
    <n v="1"/>
    <n v="94800"/>
    <n v="60000"/>
    <m/>
    <n v="30000"/>
    <n v="4800"/>
    <n v="1137600"/>
    <n v="0.12300000000000001"/>
    <n v="88560.000000000015"/>
    <n v="26745.120000000003"/>
    <n v="1226160"/>
    <n v="108108.53242320818"/>
    <n v="32648.776791808868"/>
    <n v="1042800"/>
    <n v="314925.59999999998"/>
    <n v="35103"/>
    <n v="1239468.5324232082"/>
    <n v="374319.49679180887"/>
    <n v="1613788.0292150171"/>
  </r>
  <r>
    <x v="1"/>
    <s v="Emp_013"/>
    <s v="Senior Specialist"/>
    <x v="2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1"/>
    <s v="Emp_014"/>
    <s v="Senior Specialist"/>
    <x v="2"/>
    <n v="1"/>
    <n v="120000"/>
    <n v="100000"/>
    <m/>
    <n v="12000"/>
    <n v="8000"/>
    <n v="1440000"/>
    <n v="0.12300000000000001"/>
    <n v="456000"/>
    <n v="137712"/>
    <n v="1896000"/>
    <n v="167167.23549488053"/>
    <n v="50484.505119453919"/>
    <n v="1320000"/>
    <n v="398640"/>
    <n v="35103"/>
    <n v="1943167.2354948805"/>
    <n v="586836.50511945388"/>
    <n v="2530003.7406143341"/>
  </r>
  <r>
    <x v="2"/>
    <s v="Emp_015"/>
    <s v="Department Director"/>
    <x v="3"/>
    <n v="1"/>
    <n v="311000"/>
    <n v="200000"/>
    <m/>
    <n v="95000"/>
    <n v="16000"/>
    <n v="3732000"/>
    <n v="0.38"/>
    <n v="912000"/>
    <n v="275424"/>
    <n v="4644000"/>
    <n v="409453.92491467576"/>
    <n v="123655.08532423207"/>
    <n v="3421000"/>
    <n v="966400"/>
    <n v="69507"/>
    <n v="4742453.9249146758"/>
    <n v="1365479.085324232"/>
    <n v="6107933.0102389082"/>
  </r>
  <r>
    <x v="2"/>
    <s v="Emp_016"/>
    <s v="Deputy Department Director – Head of Division"/>
    <x v="3"/>
    <n v="1"/>
    <n v="321000"/>
    <n v="200000"/>
    <m/>
    <n v="105000"/>
    <n v="16000"/>
    <n v="3852000"/>
    <n v="0.38"/>
    <n v="295200.00000000006"/>
    <n v="89150.400000000009"/>
    <n v="4147200"/>
    <n v="365651.87713310577"/>
    <n v="110426.86689419794"/>
    <n v="3531000"/>
    <n v="983010"/>
    <n v="69507"/>
    <n v="4191851.8771331059"/>
    <n v="1182587.266894198"/>
    <n v="5374439.1440273039"/>
  </r>
  <r>
    <x v="2"/>
    <s v="Emp_017"/>
    <s v="Department Manager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"/>
    <s v="Emp_018"/>
    <s v="Deputy 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2"/>
    <s v="Emp_019"/>
    <s v="Lead Specialist"/>
    <x v="2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"/>
    <s v="Emp_020"/>
    <s v="Lead Specialist"/>
    <x v="2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"/>
    <s v="Emp_021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"/>
    <s v="Emp_022"/>
    <s v="Senior Engineer"/>
    <x v="4"/>
    <n v="1"/>
    <n v="211600"/>
    <n v="145000"/>
    <m/>
    <n v="55000"/>
    <n v="11600"/>
    <n v="2539200"/>
    <n v="0.12300000000000001"/>
    <n v="661200"/>
    <n v="199682.4"/>
    <n v="3200400"/>
    <n v="282174.06143344712"/>
    <n v="85216.566552901029"/>
    <n v="2327600"/>
    <n v="702935.2"/>
    <n v="52684"/>
    <n v="3270974.0614334471"/>
    <n v="987834.16655290104"/>
    <n v="4258808.2279863479"/>
  </r>
  <r>
    <x v="2"/>
    <s v="Emp_023"/>
    <s v="Department Manager"/>
    <x v="3"/>
    <n v="1"/>
    <n v="321000"/>
    <n v="200000"/>
    <m/>
    <n v="105000"/>
    <n v="16000"/>
    <n v="3852000"/>
    <n v="0.38"/>
    <n v="295200.00000000006"/>
    <n v="89150.400000000009"/>
    <n v="4147200"/>
    <n v="365651.87713310577"/>
    <n v="110426.86689419794"/>
    <n v="3531000"/>
    <n v="983010"/>
    <n v="69507"/>
    <n v="4191851.8771331059"/>
    <n v="1182587.266894198"/>
    <n v="5374439.1440273039"/>
  </r>
  <r>
    <x v="2"/>
    <s v="Emp_024"/>
    <s v="Specialist"/>
    <x v="2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2"/>
    <s v="Emp_025"/>
    <s v="Lead Specialist"/>
    <x v="2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2"/>
    <s v="Emp_026"/>
    <s v="Deputy Department Manager"/>
    <x v="3"/>
    <n v="1"/>
    <n v="238600"/>
    <n v="145000"/>
    <m/>
    <n v="82000"/>
    <n v="11600"/>
    <n v="2863200"/>
    <n v="0.12300000000000001"/>
    <n v="214020"/>
    <n v="64634.04"/>
    <n v="3077220"/>
    <n v="271313.48122866894"/>
    <n v="81936.671331058023"/>
    <n v="2624600"/>
    <n v="792629.2"/>
    <n v="52684"/>
    <n v="3109933.4812286692"/>
    <n v="939199.91133105801"/>
    <n v="4049133.3925597272"/>
  </r>
  <r>
    <x v="2"/>
    <s v="Emp_027"/>
    <s v="Deputy Department Manager"/>
    <x v="3"/>
    <n v="1"/>
    <n v="238600"/>
    <n v="145000"/>
    <m/>
    <n v="82000"/>
    <n v="11600"/>
    <n v="2863200"/>
    <n v="0.12300000000000001"/>
    <n v="214020"/>
    <n v="64634.04"/>
    <n v="3077220"/>
    <n v="271313.48122866894"/>
    <n v="81936.671331058023"/>
    <n v="2624600"/>
    <n v="792629.2"/>
    <n v="52684"/>
    <n v="3109933.4812286692"/>
    <n v="939199.91133105801"/>
    <n v="4049133.3925597272"/>
  </r>
  <r>
    <x v="2"/>
    <s v="Emp_028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29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0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1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2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3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4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5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6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7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8"/>
    <s v="Building Maintenance Technician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2"/>
    <s v="Emp_039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40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1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2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3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4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5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6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47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48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49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50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51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52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53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54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55"/>
    <s v="Building Maintenance Technician"/>
    <x v="5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2"/>
    <s v="Emp_056"/>
    <s v="Building Maintenance Technician"/>
    <x v="5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"/>
    <s v="Emp_057"/>
    <s v="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2"/>
    <s v="Emp_058"/>
    <s v="Deputy Department Manager"/>
    <x v="3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"/>
    <s v="Emp_059"/>
    <s v="Carpenter"/>
    <x v="5"/>
    <n v="1"/>
    <n v="90800"/>
    <n v="60000"/>
    <m/>
    <n v="26000"/>
    <n v="4800"/>
    <n v="1089600"/>
    <n v="0.12300000000000001"/>
    <n v="88560.000000000015"/>
    <n v="26745.120000000003"/>
    <n v="1178160"/>
    <n v="103876.45051194538"/>
    <n v="31370.688054607504"/>
    <n v="998800"/>
    <n v="301637.59999999998"/>
    <n v="35103"/>
    <n v="1191236.4505119454"/>
    <n v="359753.40805460745"/>
    <n v="1550989.8585665529"/>
  </r>
  <r>
    <x v="2"/>
    <s v="Emp_060"/>
    <s v="Carpenter"/>
    <x v="5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2"/>
    <s v="Emp_061"/>
    <s v="Carpenter"/>
    <x v="5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"/>
    <s v="Emp_062"/>
    <s v="Carpent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2"/>
    <s v="Emp_063"/>
    <s v="Carpenter"/>
    <x v="5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2"/>
    <s v="Emp_064"/>
    <s v="Carpenter"/>
    <x v="5"/>
    <n v="1"/>
    <n v="90800"/>
    <n v="60000"/>
    <m/>
    <n v="26000"/>
    <n v="4800"/>
    <n v="1089600"/>
    <n v="0.12300000000000001"/>
    <n v="88560.000000000015"/>
    <n v="26745.120000000003"/>
    <n v="1178160"/>
    <n v="103876.45051194538"/>
    <n v="31370.688054607504"/>
    <n v="998800"/>
    <n v="301637.59999999998"/>
    <n v="35103"/>
    <n v="1191236.4505119454"/>
    <n v="359753.40805460745"/>
    <n v="1550989.8585665529"/>
  </r>
  <r>
    <x v="2"/>
    <s v="Emp_065"/>
    <s v="Carpent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2"/>
    <s v="Emp_066"/>
    <s v="Carpenter"/>
    <x v="5"/>
    <n v="1"/>
    <n v="116400"/>
    <n v="80000"/>
    <m/>
    <n v="30000"/>
    <n v="6400"/>
    <n v="1396800"/>
    <n v="0.12300000000000001"/>
    <n v="364800"/>
    <n v="110169.59999999999"/>
    <n v="1761600"/>
    <n v="155317.40614334471"/>
    <n v="46905.856655290103"/>
    <n v="1280400"/>
    <n v="386680.8"/>
    <n v="35103"/>
    <n v="1800517.4061433447"/>
    <n v="543756.25665529002"/>
    <n v="2344273.6627986347"/>
  </r>
  <r>
    <x v="3"/>
    <s v="Emp_067"/>
    <s v="Head of Division"/>
    <x v="3"/>
    <n v="1"/>
    <n v="396000"/>
    <n v="200000"/>
    <m/>
    <n v="18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3"/>
    <s v="Emp_068"/>
    <s v="Department Manager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3"/>
    <s v="Emp_069"/>
    <s v="Department Manager"/>
    <x v="3"/>
    <n v="1"/>
    <n v="236600"/>
    <n v="145000"/>
    <m/>
    <n v="80000"/>
    <n v="11600"/>
    <n v="2839200"/>
    <n v="0.12300000000000001"/>
    <n v="214020"/>
    <n v="64634.04"/>
    <n v="3053220"/>
    <n v="269197.44027303759"/>
    <n v="81297.626962457347"/>
    <n v="2602600"/>
    <n v="785985.2"/>
    <n v="52684"/>
    <n v="3085817.4402730376"/>
    <n v="931916.86696245731"/>
    <n v="4017734.3072354952"/>
  </r>
  <r>
    <x v="3"/>
    <s v="Emp_070"/>
    <s v="Deputy Department Manager"/>
    <x v="3"/>
    <n v="1"/>
    <n v="236600"/>
    <n v="145000"/>
    <m/>
    <n v="80000"/>
    <n v="11600"/>
    <n v="2839200"/>
    <n v="0.12300000000000001"/>
    <n v="214020"/>
    <n v="64634.04"/>
    <n v="3053220"/>
    <n v="269197.44027303759"/>
    <n v="81297.626962457347"/>
    <n v="2602600"/>
    <n v="785985.2"/>
    <n v="52684"/>
    <n v="3085817.4402730376"/>
    <n v="931916.86696245731"/>
    <n v="4017734.3072354952"/>
  </r>
  <r>
    <x v="3"/>
    <s v="Emp_071"/>
    <s v="Senior Specialist"/>
    <x v="2"/>
    <n v="1"/>
    <n v="136400"/>
    <n v="145000"/>
    <m/>
    <n v="-20200"/>
    <n v="11600"/>
    <n v="1636800"/>
    <n v="0.12300000000000001"/>
    <n v="661200"/>
    <n v="199682.4"/>
    <n v="2298000"/>
    <n v="202610.92150170647"/>
    <n v="61188.498293515353"/>
    <n v="1500400"/>
    <n v="453120.8"/>
    <n v="52684"/>
    <n v="2364210.9215017064"/>
    <n v="713991.69829351536"/>
    <n v="3078202.6197952218"/>
  </r>
  <r>
    <x v="3"/>
    <s v="Emp_072"/>
    <s v="Deputy Head of Division"/>
    <x v="3"/>
    <n v="1"/>
    <n v="366000"/>
    <n v="200000"/>
    <m/>
    <n v="150000"/>
    <n v="16000"/>
    <n v="4392000"/>
    <n v="0.38"/>
    <n v="912000"/>
    <n v="275424"/>
    <n v="5304000"/>
    <n v="467645.05119453929"/>
    <n v="141228.80546075085"/>
    <n v="4026000"/>
    <n v="1057755"/>
    <n v="69507"/>
    <n v="5405645.0511945393"/>
    <n v="1474407.8054607508"/>
    <n v="6880052.8566552904"/>
  </r>
  <r>
    <x v="3"/>
    <s v="Emp_073"/>
    <s v="Department Manager"/>
    <x v="3"/>
    <n v="1"/>
    <n v="301000"/>
    <n v="200000"/>
    <m/>
    <n v="85000"/>
    <n v="16000"/>
    <n v="3612000"/>
    <n v="0.38"/>
    <n v="295200.00000000006"/>
    <n v="89150.400000000009"/>
    <n v="3907200"/>
    <n v="344491.46757679182"/>
    <n v="104036.42320819113"/>
    <n v="3311000"/>
    <n v="949790"/>
    <n v="69507"/>
    <n v="3950691.467576792"/>
    <n v="1142976.8232081912"/>
    <n v="5093668.290784983"/>
  </r>
  <r>
    <x v="3"/>
    <s v="Emp_074"/>
    <s v="Lead Specialist"/>
    <x v="2"/>
    <n v="1"/>
    <n v="158000"/>
    <n v="100000"/>
    <m/>
    <n v="50000"/>
    <n v="8000"/>
    <n v="1896000"/>
    <n v="0.12300000000000001"/>
    <n v="456000"/>
    <n v="137712"/>
    <n v="2352000"/>
    <n v="207372.01365187712"/>
    <n v="62626.34812286689"/>
    <n v="1738000"/>
    <n v="524876"/>
    <n v="35103"/>
    <n v="2401372.0136518772"/>
    <n v="725214.34812286682"/>
    <n v="3126586.361774744"/>
  </r>
  <r>
    <x v="3"/>
    <s v="Emp_075"/>
    <s v="Advisor"/>
    <x v="2"/>
    <n v="1"/>
    <n v="248000"/>
    <n v="200000"/>
    <m/>
    <n v="32000"/>
    <n v="16000"/>
    <n v="2976000"/>
    <n v="0.38"/>
    <n v="912000"/>
    <n v="275424"/>
    <n v="3888000"/>
    <n v="342798.63481228665"/>
    <n v="103525.18771331056"/>
    <n v="2728000"/>
    <n v="823856"/>
    <n v="69507"/>
    <n v="3982798.6348122866"/>
    <n v="1202805.1877133106"/>
    <n v="5185603.8225255972"/>
  </r>
  <r>
    <x v="3"/>
    <s v="Emp_076"/>
    <s v="Project Manager"/>
    <x v="3"/>
    <n v="1"/>
    <n v="366000"/>
    <n v="200000"/>
    <m/>
    <n v="150000"/>
    <n v="16000"/>
    <n v="4392000"/>
    <n v="0.38"/>
    <n v="912000"/>
    <n v="275424"/>
    <n v="5304000"/>
    <n v="467645.05119453929"/>
    <n v="141228.80546075085"/>
    <n v="4026000"/>
    <n v="1057755"/>
    <n v="69507"/>
    <n v="5405645.0511945393"/>
    <n v="1474407.8054607508"/>
    <n v="6880052.8566552904"/>
  </r>
  <r>
    <x v="4"/>
    <s v="Emp_077"/>
    <s v="Department Manager"/>
    <x v="3"/>
    <n v="1"/>
    <n v="336000"/>
    <n v="200000"/>
    <m/>
    <n v="120000"/>
    <n v="16000"/>
    <n v="4032000"/>
    <n v="0.38"/>
    <n v="295200.00000000006"/>
    <n v="89150.400000000009"/>
    <n v="4327200"/>
    <n v="381522.18430034129"/>
    <n v="115219.69965870307"/>
    <n v="3696000"/>
    <n v="1007925"/>
    <n v="69507"/>
    <n v="4372722.1843003416"/>
    <n v="1212295.099658703"/>
    <n v="5585017.2839590441"/>
  </r>
  <r>
    <x v="4"/>
    <s v="Emp_078"/>
    <s v="Deputy Department Manager"/>
    <x v="3"/>
    <n v="1"/>
    <n v="288000"/>
    <n v="145000"/>
    <m/>
    <n v="131400"/>
    <n v="11600"/>
    <n v="3456000"/>
    <n v="0.12300000000000001"/>
    <n v="214020"/>
    <n v="64634.04"/>
    <n v="3670020"/>
    <n v="323579.69283276447"/>
    <n v="97721.067235494862"/>
    <n v="3168000"/>
    <n v="928197"/>
    <n v="52684"/>
    <n v="3705599.6928327642"/>
    <n v="1090552.1072354948"/>
    <n v="4796151.8000682592"/>
  </r>
  <r>
    <x v="5"/>
    <s v="Emp_079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5"/>
    <s v="Emp_080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5"/>
    <s v="Emp_081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5"/>
    <s v="Emp_082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5"/>
    <s v="Emp_083"/>
    <s v="Senior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5"/>
    <s v="Emp_084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85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86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87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88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89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90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91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92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93"/>
    <s v="Senior 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5"/>
    <s v="Emp_094"/>
    <s v="Senior Engineer"/>
    <x v="4"/>
    <n v="1"/>
    <n v="158000"/>
    <n v="100000"/>
    <m/>
    <n v="50000"/>
    <n v="8000"/>
    <n v="1896000"/>
    <n v="0.12300000000000001"/>
    <n v="456000"/>
    <n v="137712"/>
    <n v="2352000"/>
    <n v="207372.01365187712"/>
    <n v="62626.34812286689"/>
    <n v="1738000"/>
    <n v="524876"/>
    <n v="35103"/>
    <n v="2401372.0136518772"/>
    <n v="725214.34812286682"/>
    <n v="3126586.361774744"/>
  </r>
  <r>
    <x v="5"/>
    <s v="Emp_095"/>
    <s v="Deputy CEO – Department Manager"/>
    <x v="0"/>
    <n v="1"/>
    <n v="396000"/>
    <n v="200000"/>
    <n v="20000"/>
    <n v="16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6"/>
    <s v="Emp_096"/>
    <s v="Deputy Department Manager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6"/>
    <s v="Emp_097"/>
    <s v="Lead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6"/>
    <s v="Emp_098"/>
    <s v="Lead Specialist"/>
    <x v="2"/>
    <n v="1"/>
    <n v="211100"/>
    <n v="145000"/>
    <m/>
    <n v="54500"/>
    <n v="11600"/>
    <n v="2533200"/>
    <n v="0.12300000000000001"/>
    <n v="214020"/>
    <n v="64634.04"/>
    <n v="2747220"/>
    <n v="242217.91808873721"/>
    <n v="73149.811262798641"/>
    <n v="2322100"/>
    <n v="701274.2"/>
    <n v="52684"/>
    <n v="2778337.9180887369"/>
    <n v="839058.0512627986"/>
    <n v="3617395.9693515357"/>
  </r>
  <r>
    <x v="6"/>
    <s v="Emp_099"/>
    <s v="Lead Specialist"/>
    <x v="2"/>
    <n v="1"/>
    <n v="211100"/>
    <n v="145000"/>
    <m/>
    <n v="54500"/>
    <n v="11600"/>
    <n v="2533200"/>
    <n v="0.12300000000000001"/>
    <n v="214020"/>
    <n v="64634.04"/>
    <n v="2747220"/>
    <n v="242217.91808873721"/>
    <n v="73149.811262798641"/>
    <n v="2322100"/>
    <n v="701274.2"/>
    <n v="52684"/>
    <n v="2778337.9180887369"/>
    <n v="839058.0512627986"/>
    <n v="3617395.9693515357"/>
  </r>
  <r>
    <x v="6"/>
    <s v="Emp_100"/>
    <s v="Department Manager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6"/>
    <s v="Emp_101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6"/>
    <s v="Emp_102"/>
    <s v="Senior Specialist"/>
    <x v="2"/>
    <n v="1"/>
    <n v="126400"/>
    <n v="80000"/>
    <m/>
    <n v="40000"/>
    <n v="6400"/>
    <n v="1516800"/>
    <n v="0.12300000000000001"/>
    <n v="118080.00000000003"/>
    <n v="35660.160000000011"/>
    <n v="1634880"/>
    <n v="144144.70989761094"/>
    <n v="43531.702389078506"/>
    <n v="1390400"/>
    <n v="419900.8"/>
    <n v="35103"/>
    <n v="1652624.7098976108"/>
    <n v="499092.66238907853"/>
    <n v="2151717.3722866895"/>
  </r>
  <r>
    <x v="6"/>
    <s v="Emp_103"/>
    <s v="Senior Engineer"/>
    <x v="4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7"/>
    <s v="Emp_105"/>
    <s v="Department Director"/>
    <x v="3"/>
    <n v="1"/>
    <n v="238600"/>
    <n v="145000"/>
    <m/>
    <n v="82000"/>
    <n v="11600"/>
    <n v="2863200"/>
    <n v="0.12300000000000001"/>
    <n v="214020"/>
    <n v="64634.04"/>
    <n v="3077220"/>
    <n v="271313.48122866894"/>
    <n v="81936.671331058023"/>
    <n v="2624600"/>
    <n v="792629.2"/>
    <n v="52684"/>
    <n v="3109933.4812286692"/>
    <n v="939199.91133105801"/>
    <n v="4049133.3925597272"/>
  </r>
  <r>
    <x v="7"/>
    <s v="Emp_106"/>
    <s v="Chief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7"/>
    <s v="Emp_107"/>
    <s v="Assistant"/>
    <x v="1"/>
    <n v="1"/>
    <n v="261600"/>
    <n v="145000"/>
    <m/>
    <n v="105000"/>
    <n v="11600"/>
    <n v="3139200"/>
    <n v="0.12300000000000001"/>
    <n v="661200"/>
    <n v="199682.4"/>
    <n v="3800400"/>
    <n v="335075.08532423206"/>
    <n v="101192.67576791807"/>
    <n v="2877600"/>
    <n v="869035.2"/>
    <n v="52684"/>
    <n v="3873875.085324232"/>
    <n v="1169910.275767918"/>
    <n v="5043785.3610921502"/>
  </r>
  <r>
    <x v="7"/>
    <s v="Emp_108"/>
    <s v="Advisor"/>
    <x v="2"/>
    <n v="1"/>
    <n v="301000"/>
    <n v="200000"/>
    <m/>
    <n v="85000"/>
    <n v="16000"/>
    <n v="3612000"/>
    <n v="0.38"/>
    <n v="295200.00000000006"/>
    <n v="89150.400000000009"/>
    <n v="3907200"/>
    <n v="344491.46757679182"/>
    <n v="104036.42320819113"/>
    <n v="3311000"/>
    <n v="949790"/>
    <n v="69507"/>
    <n v="3950691.467576792"/>
    <n v="1142976.8232081912"/>
    <n v="5093668.290784983"/>
  </r>
  <r>
    <x v="7"/>
    <s v="Emp_109"/>
    <s v="Advisor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7"/>
    <s v="Emp_110"/>
    <s v="Department Manager"/>
    <x v="3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7"/>
    <s v="Emp_111"/>
    <s v="Senior Engineer"/>
    <x v="4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7"/>
    <s v="Emp_112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7"/>
    <s v="Emp_113"/>
    <s v="Senior Specialist"/>
    <x v="2"/>
    <n v="1"/>
    <n v="59000"/>
    <n v="50000"/>
    <m/>
    <n v="5000"/>
    <n v="4000"/>
    <n v="708000"/>
    <n v="0.12300000000000001"/>
    <n v="73800.000000000015"/>
    <n v="22287.600000000002"/>
    <n v="781800"/>
    <n v="68930.034129692838"/>
    <n v="20816.870307167235"/>
    <n v="649000"/>
    <n v="195998"/>
    <n v="35103"/>
    <n v="791730.03412969282"/>
    <n v="239102.47030716724"/>
    <n v="1030832.5044368601"/>
  </r>
  <r>
    <x v="7"/>
    <s v="Emp_114"/>
    <s v="Senior Specialist"/>
    <x v="2"/>
    <n v="1"/>
    <n v="59000"/>
    <n v="50000"/>
    <m/>
    <n v="5000"/>
    <n v="4000"/>
    <n v="708000"/>
    <n v="0.12300000000000001"/>
    <n v="73800.000000000015"/>
    <n v="22287.600000000002"/>
    <n v="781800"/>
    <n v="68930.034129692838"/>
    <n v="20816.870307167235"/>
    <n v="649000"/>
    <n v="195998"/>
    <n v="35103"/>
    <n v="791730.03412969282"/>
    <n v="239102.47030716724"/>
    <n v="1030832.5044368601"/>
  </r>
  <r>
    <x v="7"/>
    <s v="Emp_115"/>
    <s v="Electrical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16"/>
    <s v="Electrical Maintenance Technician"/>
    <x v="5"/>
    <n v="1"/>
    <n v="126400"/>
    <n v="80000"/>
    <m/>
    <n v="40000"/>
    <n v="6400"/>
    <n v="1516800"/>
    <n v="0.12300000000000001"/>
    <n v="118080.00000000003"/>
    <n v="35660.160000000011"/>
    <n v="1634880"/>
    <n v="144144.70989761094"/>
    <n v="43531.702389078506"/>
    <n v="1390400"/>
    <n v="419900.8"/>
    <n v="35103"/>
    <n v="1652624.7098976108"/>
    <n v="499092.66238907853"/>
    <n v="2151717.3722866895"/>
  </r>
  <r>
    <x v="7"/>
    <s v="Emp_117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18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19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0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1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2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3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4"/>
    <s v="Electrical Maintenance Technician"/>
    <x v="5"/>
    <n v="1"/>
    <n v="74000"/>
    <n v="60000"/>
    <m/>
    <n v="9200"/>
    <n v="4800"/>
    <n v="888000"/>
    <n v="0.12300000000000001"/>
    <n v="88560.000000000015"/>
    <n v="26745.120000000003"/>
    <n v="976560"/>
    <n v="86101.706484641632"/>
    <n v="26002.715358361773"/>
    <n v="814000"/>
    <n v="245828"/>
    <n v="35103"/>
    <n v="988661.70648464165"/>
    <n v="298575.83535836177"/>
    <n v="1287237.5418430034"/>
  </r>
  <r>
    <x v="7"/>
    <s v="Emp_125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7"/>
    <s v="Emp_126"/>
    <s v="Electrical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27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7"/>
    <s v="Emp_128"/>
    <s v="Electrical Maintenance Technician"/>
    <x v="5"/>
    <n v="1"/>
    <n v="96400"/>
    <n v="60000"/>
    <m/>
    <n v="31600"/>
    <n v="4800"/>
    <n v="1156800"/>
    <n v="0.12300000000000001"/>
    <n v="88560.000000000015"/>
    <n v="26745.120000000003"/>
    <n v="1245360"/>
    <n v="109801.36518771331"/>
    <n v="33160.012286689416"/>
    <n v="1060400"/>
    <n v="320240.8"/>
    <n v="35103"/>
    <n v="1258761.3651877134"/>
    <n v="380145.93228668941"/>
    <n v="1638907.2974744029"/>
  </r>
  <r>
    <x v="7"/>
    <s v="Emp_129"/>
    <s v="Electrical Maintenance Technician"/>
    <x v="5"/>
    <n v="1"/>
    <n v="96400"/>
    <n v="60000"/>
    <m/>
    <n v="31600"/>
    <n v="4800"/>
    <n v="1156800"/>
    <n v="0.12300000000000001"/>
    <n v="88560.000000000015"/>
    <n v="26745.120000000003"/>
    <n v="1245360"/>
    <n v="109801.36518771331"/>
    <n v="33160.012286689416"/>
    <n v="1060400"/>
    <n v="320240.8"/>
    <n v="35103"/>
    <n v="1258761.3651877134"/>
    <n v="380145.93228668941"/>
    <n v="1638907.2974744029"/>
  </r>
  <r>
    <x v="7"/>
    <s v="Emp_130"/>
    <s v="Electrical Maintenance Technician"/>
    <x v="5"/>
    <n v="1"/>
    <n v="96400"/>
    <n v="60000"/>
    <m/>
    <n v="31600"/>
    <n v="4800"/>
    <n v="1156800"/>
    <n v="0.12300000000000001"/>
    <n v="88560.000000000015"/>
    <n v="26745.120000000003"/>
    <n v="1245360"/>
    <n v="109801.36518771331"/>
    <n v="33160.012286689416"/>
    <n v="1060400"/>
    <n v="320240.8"/>
    <n v="35103"/>
    <n v="1258761.3651877134"/>
    <n v="380145.93228668941"/>
    <n v="1638907.2974744029"/>
  </r>
  <r>
    <x v="7"/>
    <s v="Emp_131"/>
    <s v="Department Manager"/>
    <x v="3"/>
    <n v="1"/>
    <n v="201100"/>
    <n v="145000"/>
    <m/>
    <n v="44500"/>
    <n v="11600"/>
    <n v="2413200"/>
    <n v="0.12300000000000001"/>
    <n v="214020"/>
    <n v="64634.04"/>
    <n v="2627220"/>
    <n v="231637.71331058021"/>
    <n v="69954.589419795215"/>
    <n v="2212100"/>
    <n v="668054.19999999995"/>
    <n v="52684"/>
    <n v="2657757.7133105802"/>
    <n v="802642.82941979519"/>
    <n v="3460400.5427303752"/>
  </r>
  <r>
    <x v="7"/>
    <s v="Emp_132"/>
    <s v="Deputy Department Manager"/>
    <x v="3"/>
    <n v="1"/>
    <n v="166000"/>
    <n v="100000"/>
    <m/>
    <n v="58000"/>
    <n v="8000"/>
    <n v="1992000"/>
    <n v="0.12300000000000001"/>
    <n v="147600.00000000003"/>
    <n v="44575.200000000004"/>
    <n v="2139600"/>
    <n v="188645.05119453924"/>
    <n v="56970.805460750846"/>
    <n v="1826000"/>
    <n v="551452"/>
    <n v="35103"/>
    <n v="2162245.0511945393"/>
    <n v="652998.00546075089"/>
    <n v="2815243.0566552901"/>
  </r>
  <r>
    <x v="7"/>
    <s v="Emp_133"/>
    <s v="Lead Specialist"/>
    <x v="2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7"/>
    <s v="Emp_134"/>
    <s v="Senior Specialist"/>
    <x v="2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7"/>
    <s v="Emp_135"/>
    <s v="Specialist"/>
    <x v="2"/>
    <n v="1"/>
    <n v="64000"/>
    <n v="50000"/>
    <m/>
    <n v="10000"/>
    <n v="4000"/>
    <n v="768000"/>
    <n v="0.12300000000000001"/>
    <n v="73800.000000000015"/>
    <n v="22287.600000000002"/>
    <n v="841800"/>
    <n v="74220.136518771338"/>
    <n v="22414.481228668945"/>
    <n v="704000"/>
    <n v="212608"/>
    <n v="35103"/>
    <n v="852020.13651877129"/>
    <n v="257310.08122866895"/>
    <n v="1109330.2177474403"/>
  </r>
  <r>
    <x v="7"/>
    <s v="Emp_136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7"/>
    <s v="Emp_137"/>
    <s v="Plumber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38"/>
    <s v="Plumber"/>
    <x v="5"/>
    <n v="1"/>
    <n v="92800"/>
    <n v="80000"/>
    <m/>
    <n v="6400"/>
    <n v="6400"/>
    <n v="1113600"/>
    <n v="0.12300000000000001"/>
    <n v="118080.00000000003"/>
    <n v="35660.160000000011"/>
    <n v="1231680"/>
    <n v="108595.22184300341"/>
    <n v="32795.756996587028"/>
    <n v="1020800"/>
    <n v="308281.59999999998"/>
    <n v="35103"/>
    <n v="1247475.2218430035"/>
    <n v="376737.51699658704"/>
    <n v="1624212.7388395905"/>
  </r>
  <r>
    <x v="7"/>
    <s v="Emp_139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0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1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2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3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4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5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6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7"/>
    <s v="Emp_147"/>
    <s v="Department Manager"/>
    <x v="3"/>
    <n v="1"/>
    <n v="201100"/>
    <n v="145000"/>
    <m/>
    <n v="44500"/>
    <n v="11600"/>
    <n v="2413200"/>
    <n v="0.12300000000000001"/>
    <n v="214020"/>
    <n v="64634.04"/>
    <n v="2627220"/>
    <n v="231637.71331058021"/>
    <n v="69954.589419795215"/>
    <n v="2212100"/>
    <n v="668054.19999999995"/>
    <n v="52684"/>
    <n v="2657757.7133105802"/>
    <n v="802642.82941979519"/>
    <n v="3460400.5427303752"/>
  </r>
  <r>
    <x v="7"/>
    <s v="Emp_148"/>
    <s v="Deputy Department Manager"/>
    <x v="3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7"/>
    <s v="Emp_149"/>
    <s v="Lead Specialist"/>
    <x v="2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7"/>
    <s v="Emp_150"/>
    <s v="Senior Specialist"/>
    <x v="2"/>
    <n v="1"/>
    <n v="109800"/>
    <n v="80000"/>
    <m/>
    <n v="23400"/>
    <n v="6400"/>
    <n v="1317600"/>
    <n v="0.12300000000000001"/>
    <n v="118080.00000000003"/>
    <n v="35660.160000000011"/>
    <n v="1435680"/>
    <n v="126581.56996587031"/>
    <n v="38227.634129692829"/>
    <n v="1207800"/>
    <n v="364755.6"/>
    <n v="35103"/>
    <n v="1452461.5699658704"/>
    <n v="438643.39412969281"/>
    <n v="1891104.9640955632"/>
  </r>
  <r>
    <x v="7"/>
    <s v="Emp_151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52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53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54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7"/>
    <s v="Emp_155"/>
    <s v="HVAC Maintenance Technician"/>
    <x v="5"/>
    <n v="1"/>
    <n v="96400"/>
    <n v="80000"/>
    <m/>
    <n v="10000"/>
    <n v="6400"/>
    <n v="1156800"/>
    <n v="0.12300000000000001"/>
    <n v="364800"/>
    <n v="110169.59999999999"/>
    <n v="1521600"/>
    <n v="134156.99658703074"/>
    <n v="40515.412969283279"/>
    <n v="1060400"/>
    <n v="320240.8"/>
    <n v="35103"/>
    <n v="1559356.9965870306"/>
    <n v="470925.81296928326"/>
    <n v="2030282.8095563138"/>
  </r>
  <r>
    <x v="8"/>
    <s v="Emp_156"/>
    <s v="Department Director"/>
    <x v="3"/>
    <n v="1"/>
    <n v="301000"/>
    <n v="200000"/>
    <m/>
    <n v="85000"/>
    <n v="16000"/>
    <n v="3612000"/>
    <n v="0.38"/>
    <n v="295200.00000000006"/>
    <n v="89150.400000000009"/>
    <n v="3907200"/>
    <n v="344491.46757679182"/>
    <n v="104036.42320819113"/>
    <n v="3311000"/>
    <n v="949790"/>
    <n v="69507"/>
    <n v="3950691.467576792"/>
    <n v="1142976.8232081912"/>
    <n v="5093668.290784983"/>
  </r>
  <r>
    <x v="8"/>
    <s v="Emp_157"/>
    <s v="Chief Engineer"/>
    <x v="4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8"/>
    <s v="Emp_158"/>
    <s v="Advisor"/>
    <x v="2"/>
    <n v="1"/>
    <n v="236000"/>
    <n v="145000"/>
    <m/>
    <n v="79400"/>
    <n v="11600"/>
    <n v="2832000"/>
    <n v="0.12300000000000001"/>
    <n v="214020"/>
    <n v="64634.04"/>
    <n v="3046020"/>
    <n v="268562.62798634812"/>
    <n v="81105.913651877127"/>
    <n v="2596000"/>
    <n v="783992"/>
    <n v="52684"/>
    <n v="3078582.6279863482"/>
    <n v="929731.95365187712"/>
    <n v="4008314.5816382254"/>
  </r>
  <r>
    <x v="8"/>
    <s v="Emp_159"/>
    <s v="Advisor"/>
    <x v="2"/>
    <n v="1"/>
    <n v="266000"/>
    <n v="145000"/>
    <m/>
    <n v="109400"/>
    <n v="11600"/>
    <n v="3192000"/>
    <n v="0.12300000000000001"/>
    <n v="214020"/>
    <n v="64634.04"/>
    <n v="3406020"/>
    <n v="300303.24232081912"/>
    <n v="90691.579180887376"/>
    <n v="2926000"/>
    <n v="883652"/>
    <n v="52684"/>
    <n v="3440323.2423208193"/>
    <n v="1038977.6191808874"/>
    <n v="4479300.8615017068"/>
  </r>
  <r>
    <x v="8"/>
    <s v="Emp_160"/>
    <s v="Administrator"/>
    <x v="1"/>
    <n v="1"/>
    <n v="288000"/>
    <n v="145000"/>
    <m/>
    <n v="131400"/>
    <n v="11600"/>
    <n v="3456000"/>
    <n v="0.12300000000000001"/>
    <n v="214020"/>
    <n v="64634.04"/>
    <n v="3670020"/>
    <n v="323579.69283276447"/>
    <n v="97721.067235494862"/>
    <n v="3168000"/>
    <n v="928197"/>
    <n v="52684"/>
    <n v="3705599.6928327642"/>
    <n v="1090552.1072354948"/>
    <n v="4796151.8000682592"/>
  </r>
  <r>
    <x v="8"/>
    <s v="Emp_161"/>
    <s v="Department Manager"/>
    <x v="3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8"/>
    <s v="Emp_162"/>
    <s v="Senior Specialist"/>
    <x v="2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8"/>
    <s v="Emp_163"/>
    <s v="Electrical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8"/>
    <s v="Emp_164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65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66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67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68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69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70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71"/>
    <s v="Electrical Maintenance Technician"/>
    <x v="5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8"/>
    <s v="Emp_172"/>
    <s v="Electrical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8"/>
    <s v="Emp_173"/>
    <s v="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8"/>
    <s v="Emp_174"/>
    <s v="Lead Specialist"/>
    <x v="2"/>
    <n v="1"/>
    <n v="104800"/>
    <n v="80000"/>
    <m/>
    <n v="18400"/>
    <n v="6400"/>
    <n v="1257600"/>
    <n v="0.12300000000000001"/>
    <n v="118080.00000000003"/>
    <n v="35660.160000000011"/>
    <n v="1375680"/>
    <n v="121291.46757679181"/>
    <n v="36630.023208191124"/>
    <n v="1152800"/>
    <n v="348145.6"/>
    <n v="35103"/>
    <n v="1392171.4675767918"/>
    <n v="420435.7832081911"/>
    <n v="1812607.2507849829"/>
  </r>
  <r>
    <x v="8"/>
    <s v="Emp_175"/>
    <s v="Senior Specialist"/>
    <x v="2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8"/>
    <s v="Emp_176"/>
    <s v="Plumber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8"/>
    <s v="Emp_177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78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79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0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1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2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3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4"/>
    <s v="Plumber"/>
    <x v="5"/>
    <n v="1"/>
    <n v="72000"/>
    <n v="60000"/>
    <m/>
    <n v="7200"/>
    <n v="4800"/>
    <n v="864000"/>
    <n v="0.12300000000000001"/>
    <n v="88560.000000000015"/>
    <n v="26745.120000000003"/>
    <n v="952560"/>
    <n v="83985.665529010235"/>
    <n v="25363.670989761089"/>
    <n v="792000"/>
    <n v="239184"/>
    <n v="35103"/>
    <n v="964545.66552901024"/>
    <n v="291292.79098976112"/>
    <n v="1255838.4565187714"/>
  </r>
  <r>
    <x v="8"/>
    <s v="Emp_185"/>
    <s v="Department Manager"/>
    <x v="3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8"/>
    <s v="Emp_186"/>
    <s v="Lead Specialist"/>
    <x v="2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8"/>
    <s v="Emp_187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8"/>
    <s v="Emp_188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8"/>
    <s v="Emp_189"/>
    <s v="HVAC Maintenance Technician"/>
    <x v="5"/>
    <n v="1"/>
    <n v="74000"/>
    <n v="60000"/>
    <m/>
    <n v="9200"/>
    <n v="4800"/>
    <n v="888000"/>
    <n v="0.12300000000000001"/>
    <n v="88560.000000000015"/>
    <n v="26745.120000000003"/>
    <n v="976560"/>
    <n v="86101.706484641632"/>
    <n v="26002.715358361773"/>
    <n v="814000"/>
    <n v="245828"/>
    <n v="35103"/>
    <n v="988661.70648464165"/>
    <n v="298575.83535836177"/>
    <n v="1287237.5418430034"/>
  </r>
  <r>
    <x v="8"/>
    <s v="Emp_190"/>
    <s v="HVAC Maintenance Technician"/>
    <x v="5"/>
    <n v="1"/>
    <n v="74000"/>
    <n v="60000"/>
    <m/>
    <n v="9200"/>
    <n v="4800"/>
    <n v="888000"/>
    <n v="0.12300000000000001"/>
    <n v="273600"/>
    <n v="82627.199999999997"/>
    <n v="1161600"/>
    <n v="102416.38225255972"/>
    <n v="30929.747440273033"/>
    <n v="814000"/>
    <n v="245828"/>
    <n v="35103"/>
    <n v="1190016.3822525598"/>
    <n v="359384.94744027301"/>
    <n v="1549401.3296928327"/>
  </r>
  <r>
    <x v="9"/>
    <s v="Emp_191"/>
    <s v="Director"/>
    <x v="0"/>
    <n v="1"/>
    <n v="336000"/>
    <n v="200000"/>
    <m/>
    <n v="120000"/>
    <n v="16000"/>
    <n v="4032000"/>
    <n v="0.38"/>
    <n v="912000"/>
    <n v="275424"/>
    <n v="4944000"/>
    <n v="435904.43686006824"/>
    <n v="131643.13993174062"/>
    <n v="3696000"/>
    <n v="1007925"/>
    <n v="69507"/>
    <n v="5043904.4368600678"/>
    <n v="1414992.1399317407"/>
    <n v="6458896.576791808"/>
  </r>
  <r>
    <x v="9"/>
    <s v="Emp_192"/>
    <s v="Deputy Director"/>
    <x v="3"/>
    <n v="1"/>
    <n v="301000"/>
    <n v="200000"/>
    <m/>
    <n v="85000"/>
    <n v="16000"/>
    <n v="3612000"/>
    <n v="0.38"/>
    <n v="295200.00000000006"/>
    <n v="89150.400000000009"/>
    <n v="3907200"/>
    <n v="344491.46757679182"/>
    <n v="104036.42320819113"/>
    <n v="3311000"/>
    <n v="949790"/>
    <n v="69507"/>
    <n v="3950691.467576792"/>
    <n v="1142976.8232081912"/>
    <n v="5093668.290784983"/>
  </r>
  <r>
    <x v="9"/>
    <s v="Emp_193"/>
    <s v="Deputy Director"/>
    <x v="3"/>
    <n v="1"/>
    <n v="238600"/>
    <n v="145000"/>
    <m/>
    <n v="82000"/>
    <n v="11600"/>
    <n v="2863200"/>
    <n v="0.12300000000000001"/>
    <n v="214020"/>
    <n v="64634.04"/>
    <n v="3077220"/>
    <n v="271313.48122866894"/>
    <n v="81936.671331058023"/>
    <n v="2624600"/>
    <n v="792629.2"/>
    <n v="52684"/>
    <n v="3109933.4812286692"/>
    <n v="939199.91133105801"/>
    <n v="4049133.3925597272"/>
  </r>
  <r>
    <x v="9"/>
    <s v="Emp_194"/>
    <s v="Chief Engineer"/>
    <x v="4"/>
    <n v="1"/>
    <n v="288000"/>
    <n v="145000"/>
    <m/>
    <n v="131400"/>
    <n v="11600"/>
    <n v="3456000"/>
    <n v="0.12300000000000001"/>
    <n v="214020"/>
    <n v="64634.04"/>
    <n v="3670020"/>
    <n v="323579.69283276447"/>
    <n v="97721.067235494862"/>
    <n v="3168000"/>
    <n v="928197"/>
    <n v="52684"/>
    <n v="3705599.6928327642"/>
    <n v="1090552.1072354948"/>
    <n v="4796151.8000682592"/>
  </r>
  <r>
    <x v="9"/>
    <s v="Emp_195"/>
    <s v="Advisor"/>
    <x v="2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9"/>
    <s v="Emp_196"/>
    <s v="Advisor"/>
    <x v="2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9"/>
    <s v="Emp_197"/>
    <s v="Lead Specialist"/>
    <x v="2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9"/>
    <s v="Emp_198"/>
    <s v="Senior Engineer"/>
    <x v="4"/>
    <n v="1"/>
    <n v="160000"/>
    <n v="100000"/>
    <m/>
    <n v="52000"/>
    <n v="8000"/>
    <n v="1920000"/>
    <n v="0.12300000000000001"/>
    <n v="147600.00000000003"/>
    <n v="44575.200000000004"/>
    <n v="2067600"/>
    <n v="182296.92832764506"/>
    <n v="55053.672354948809"/>
    <n v="1760000"/>
    <n v="531520"/>
    <n v="35103"/>
    <n v="2089896.9283276452"/>
    <n v="631148.87235494878"/>
    <n v="2721045.8006825941"/>
  </r>
  <r>
    <x v="9"/>
    <s v="Emp_199"/>
    <s v="Senior Engineer"/>
    <x v="4"/>
    <n v="1"/>
    <n v="160000"/>
    <n v="100000"/>
    <m/>
    <n v="52000"/>
    <n v="8000"/>
    <n v="1920000"/>
    <n v="0.12300000000000001"/>
    <n v="147600.00000000003"/>
    <n v="44575.200000000004"/>
    <n v="2067600"/>
    <n v="182296.92832764506"/>
    <n v="55053.672354948809"/>
    <n v="1760000"/>
    <n v="531520"/>
    <n v="35103"/>
    <n v="2089896.9283276452"/>
    <n v="631148.87235494878"/>
    <n v="2721045.8006825941"/>
  </r>
  <r>
    <x v="9"/>
    <s v="Emp_200"/>
    <s v="Senior Engineer"/>
    <x v="4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9"/>
    <s v="Emp_201"/>
    <s v="Engineer"/>
    <x v="4"/>
    <n v="1"/>
    <n v="121400"/>
    <n v="100000"/>
    <m/>
    <n v="13400"/>
    <n v="8000"/>
    <n v="1456800"/>
    <n v="0.12300000000000001"/>
    <n v="147600.00000000003"/>
    <n v="44575.200000000004"/>
    <n v="1604400"/>
    <n v="141457.33788395903"/>
    <n v="42720.116040955625"/>
    <n v="1335400"/>
    <n v="403290.8"/>
    <n v="35103"/>
    <n v="1624457.3378839591"/>
    <n v="490586.11604095565"/>
    <n v="2115043.4539249148"/>
  </r>
  <r>
    <x v="9"/>
    <s v="Emp_202"/>
    <s v="Senior Engineer"/>
    <x v="4"/>
    <n v="1"/>
    <n v="121400"/>
    <n v="100000"/>
    <m/>
    <n v="13400"/>
    <n v="8000"/>
    <n v="1456800"/>
    <n v="0.12300000000000001"/>
    <n v="147600.00000000003"/>
    <n v="44575.200000000004"/>
    <n v="1604400"/>
    <n v="141457.33788395903"/>
    <n v="42720.116040955625"/>
    <n v="1335400"/>
    <n v="403290.8"/>
    <n v="35103"/>
    <n v="1624457.3378839591"/>
    <n v="490586.11604095565"/>
    <n v="2115043.4539249148"/>
  </r>
  <r>
    <x v="9"/>
    <s v="Emp_203"/>
    <s v="Lead Specialist"/>
    <x v="2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9"/>
    <s v="Emp_204"/>
    <s v="Senior Engineer"/>
    <x v="4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9"/>
    <s v="Emp_205"/>
    <s v="Senior Engineer"/>
    <x v="4"/>
    <n v="1"/>
    <n v="160000"/>
    <n v="100000"/>
    <m/>
    <n v="52000"/>
    <n v="8000"/>
    <n v="1920000"/>
    <n v="0.12300000000000001"/>
    <n v="147600.00000000003"/>
    <n v="44575.200000000004"/>
    <n v="2067600"/>
    <n v="182296.92832764506"/>
    <n v="55053.672354948809"/>
    <n v="1760000"/>
    <n v="531520"/>
    <n v="35103"/>
    <n v="2089896.9283276452"/>
    <n v="631148.87235494878"/>
    <n v="2721045.8006825941"/>
  </r>
  <r>
    <x v="9"/>
    <s v="Emp_206"/>
    <s v="Senior Engineer"/>
    <x v="4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9"/>
    <s v="Emp_207"/>
    <s v="Engineer"/>
    <x v="4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9"/>
    <s v="Emp_208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09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0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1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2"/>
    <s v="Electrical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3"/>
    <s v="Lead Specialist"/>
    <x v="2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9"/>
    <s v="Emp_214"/>
    <s v="Senior Engineer"/>
    <x v="4"/>
    <n v="1"/>
    <n v="148000"/>
    <n v="50000"/>
    <m/>
    <n v="94000"/>
    <n v="4000"/>
    <n v="1776000"/>
    <n v="0.12300000000000001"/>
    <n v="73800.000000000015"/>
    <n v="22287.600000000002"/>
    <n v="1849800"/>
    <n v="163093.85665529009"/>
    <n v="49254.344709897603"/>
    <n v="1628000"/>
    <n v="491656"/>
    <n v="35103"/>
    <n v="1864893.8566552901"/>
    <n v="563197.94470989762"/>
    <n v="2428091.8013651879"/>
  </r>
  <r>
    <x v="9"/>
    <s v="Emp_215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6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7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8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19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20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21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22"/>
    <s v="Plumber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9"/>
    <s v="Emp_223"/>
    <s v="Lead Specialist"/>
    <x v="2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9"/>
    <s v="Emp_224"/>
    <s v="Senior Engineer"/>
    <x v="4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9"/>
    <s v="Emp_225"/>
    <s v="Building Maintenance Technician"/>
    <x v="5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10"/>
    <s v="Emp_226"/>
    <s v="Head of Division"/>
    <x v="3"/>
    <n v="1"/>
    <n v="286100"/>
    <n v="145000"/>
    <n v="14500"/>
    <n v="115000"/>
    <n v="11600"/>
    <n v="3433200"/>
    <n v="0.12300000000000001"/>
    <n v="214020"/>
    <n v="64634.04"/>
    <n v="3647220"/>
    <n v="321569.45392491465"/>
    <n v="97113.975085324215"/>
    <n v="3147100"/>
    <n v="925041.1"/>
    <n v="52684"/>
    <n v="3682689.4539249148"/>
    <n v="1086789.1150853243"/>
    <n v="4769478.5690102391"/>
  </r>
  <r>
    <x v="10"/>
    <s v="Emp_227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0"/>
    <s v="Emp_228"/>
    <s v="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10"/>
    <s v="Emp_229"/>
    <s v="Deputy Department Manager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10"/>
    <s v="Emp_230"/>
    <s v="Senior Engineer"/>
    <x v="4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10"/>
    <s v="Emp_231"/>
    <s v="Senior Engineer"/>
    <x v="4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10"/>
    <s v="Emp_232"/>
    <s v="Lead Specialist"/>
    <x v="2"/>
    <n v="1"/>
    <n v="94800"/>
    <n v="60000"/>
    <m/>
    <n v="30000"/>
    <n v="4800"/>
    <n v="1137600"/>
    <n v="0.12300000000000001"/>
    <n v="88560.000000000015"/>
    <n v="26745.120000000003"/>
    <n v="1226160"/>
    <n v="108108.53242320818"/>
    <n v="32648.776791808868"/>
    <n v="1042800"/>
    <n v="314925.59999999998"/>
    <n v="35103"/>
    <n v="1239468.5324232082"/>
    <n v="374319.49679180887"/>
    <n v="1613788.0292150171"/>
  </r>
  <r>
    <x v="10"/>
    <s v="Emp_233"/>
    <s v="Senior Specialist"/>
    <x v="2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10"/>
    <s v="Emp_234"/>
    <s v="Engineer"/>
    <x v="4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0"/>
    <s v="Emp_235"/>
    <s v="Specialist"/>
    <x v="2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10"/>
    <s v="Emp_236"/>
    <s v="Department Manager"/>
    <x v="3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10"/>
    <s v="Emp_237"/>
    <s v="Deputy Department Manager"/>
    <x v="3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10"/>
    <s v="Emp_238"/>
    <s v="Senior Engineer"/>
    <x v="4"/>
    <n v="1"/>
    <n v="124400"/>
    <n v="100000"/>
    <m/>
    <n v="16400"/>
    <n v="8000"/>
    <n v="1492800"/>
    <n v="0.12300000000000001"/>
    <n v="147600.00000000003"/>
    <n v="44575.200000000004"/>
    <n v="1640400"/>
    <n v="144631.39931740615"/>
    <n v="43678.682593856654"/>
    <n v="1368400"/>
    <n v="413256.8"/>
    <n v="35103"/>
    <n v="1660631.3993174061"/>
    <n v="501510.68259385665"/>
    <n v="2162142.0819112626"/>
  </r>
  <r>
    <x v="10"/>
    <s v="Emp_239"/>
    <s v="Senior Specialist"/>
    <x v="2"/>
    <n v="1"/>
    <n v="124400"/>
    <n v="100000"/>
    <m/>
    <n v="16400"/>
    <n v="8000"/>
    <n v="1492800"/>
    <n v="0.12300000000000001"/>
    <n v="147600.00000000003"/>
    <n v="44575.200000000004"/>
    <n v="1640400"/>
    <n v="144631.39931740615"/>
    <n v="43678.682593856654"/>
    <n v="1368400"/>
    <n v="413256.8"/>
    <n v="35103"/>
    <n v="1660631.3993174061"/>
    <n v="501510.68259385665"/>
    <n v="2162142.0819112626"/>
  </r>
  <r>
    <x v="10"/>
    <s v="Emp_240"/>
    <s v="Senior Engineer"/>
    <x v="4"/>
    <n v="1"/>
    <n v="106400"/>
    <n v="100000"/>
    <m/>
    <n v="-1600"/>
    <n v="8000"/>
    <n v="1276800"/>
    <n v="0.12300000000000001"/>
    <n v="147600.00000000003"/>
    <n v="44575.200000000004"/>
    <n v="1424400"/>
    <n v="125587.03071672354"/>
    <n v="37927.283276450507"/>
    <n v="1170400"/>
    <n v="353460.8"/>
    <n v="35103"/>
    <n v="1443587.0307167235"/>
    <n v="435963.28327645047"/>
    <n v="1879550.3139931741"/>
  </r>
  <r>
    <x v="10"/>
    <s v="Emp_241"/>
    <s v="Senior Specialist"/>
    <x v="2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10"/>
    <s v="Emp_242"/>
    <s v="Senior Engineer"/>
    <x v="4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1"/>
    <s v="Emp_243"/>
    <s v="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1"/>
    <s v="Emp_244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1"/>
    <s v="Emp_245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1"/>
    <s v="Emp_246"/>
    <s v="Lead Specialist"/>
    <x v="2"/>
    <n v="1"/>
    <n v="160000"/>
    <n v="100000"/>
    <m/>
    <n v="52000"/>
    <n v="8000"/>
    <n v="1920000"/>
    <n v="0.12300000000000001"/>
    <n v="147600.00000000003"/>
    <n v="44575.200000000004"/>
    <n v="2067600"/>
    <n v="182296.92832764506"/>
    <n v="55053.672354948809"/>
    <n v="1760000"/>
    <n v="531520"/>
    <n v="35103"/>
    <n v="2089896.9283276452"/>
    <n v="631148.87235494878"/>
    <n v="2721045.8006825941"/>
  </r>
  <r>
    <x v="11"/>
    <s v="Emp_247"/>
    <s v="Elevator Mechanic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12"/>
    <s v="Emp_248"/>
    <s v="Department Manager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12"/>
    <s v="Emp_249"/>
    <s v="Deputy 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2"/>
    <s v="Emp_250"/>
    <s v="Senior Engineer"/>
    <x v="4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13"/>
    <s v="Emp_251"/>
    <s v="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3"/>
    <s v="Emp_252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3"/>
    <s v="Emp_253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3"/>
    <s v="Emp_254"/>
    <s v="Welder"/>
    <x v="5"/>
    <n v="1"/>
    <n v="144331"/>
    <n v="100000"/>
    <m/>
    <n v="36331"/>
    <n v="8000"/>
    <n v="1731972"/>
    <n v="0.12300000000000001"/>
    <n v="147600.00000000003"/>
    <n v="44575.200000000004"/>
    <n v="1879572"/>
    <n v="165718.80546075085"/>
    <n v="50047.079249146758"/>
    <n v="1587641"/>
    <n v="479467.58199999999"/>
    <n v="35103"/>
    <n v="1900959.8054607508"/>
    <n v="574089.86124914675"/>
    <n v="2475049.6667098976"/>
  </r>
  <r>
    <x v="13"/>
    <s v="Emp_255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3"/>
    <s v="Emp_256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3"/>
    <s v="Emp_257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3"/>
    <s v="Emp_258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14"/>
    <s v="Emp_259"/>
    <s v="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14"/>
    <s v="Emp_260"/>
    <s v="Deputy 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4"/>
    <s v="Emp_261"/>
    <s v="Lead Specialist"/>
    <x v="2"/>
    <n v="1"/>
    <n v="166000"/>
    <n v="100000"/>
    <m/>
    <n v="58000"/>
    <n v="8000"/>
    <n v="1992000"/>
    <n v="0.12300000000000001"/>
    <n v="147600.00000000003"/>
    <n v="44575.200000000004"/>
    <n v="2139600"/>
    <n v="188645.05119453924"/>
    <n v="56970.805460750846"/>
    <n v="1826000"/>
    <n v="551452"/>
    <n v="35103"/>
    <n v="2162245.0511945393"/>
    <n v="652998.00546075089"/>
    <n v="2815243.0566552901"/>
  </r>
  <r>
    <x v="14"/>
    <s v="Emp_262"/>
    <s v="Senior Specialist"/>
    <x v="2"/>
    <n v="1"/>
    <n v="166000"/>
    <n v="100000"/>
    <m/>
    <n v="58000"/>
    <n v="8000"/>
    <n v="1992000"/>
    <n v="0.12300000000000001"/>
    <n v="147600.00000000003"/>
    <n v="44575.200000000004"/>
    <n v="2139600"/>
    <n v="188645.05119453924"/>
    <n v="56970.805460750846"/>
    <n v="1826000"/>
    <n v="551452"/>
    <n v="35103"/>
    <n v="2162245.0511945393"/>
    <n v="652998.00546075089"/>
    <n v="2815243.0566552901"/>
  </r>
  <r>
    <x v="14"/>
    <s v="Emp_263"/>
    <s v="Senior Specialist"/>
    <x v="2"/>
    <n v="1"/>
    <n v="166000"/>
    <n v="100000"/>
    <m/>
    <n v="58000"/>
    <n v="8000"/>
    <n v="1992000"/>
    <n v="0.12300000000000001"/>
    <n v="147600.00000000003"/>
    <n v="44575.200000000004"/>
    <n v="2139600"/>
    <n v="188645.05119453924"/>
    <n v="56970.805460750846"/>
    <n v="1826000"/>
    <n v="551452"/>
    <n v="35103"/>
    <n v="2162245.0511945393"/>
    <n v="652998.00546075089"/>
    <n v="2815243.0566552901"/>
  </r>
  <r>
    <x v="14"/>
    <s v="Emp_264"/>
    <s v="Senior Specialist"/>
    <x v="2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14"/>
    <s v="Emp_265"/>
    <s v="Senior Specialist"/>
    <x v="2"/>
    <n v="1"/>
    <n v="136400"/>
    <n v="100000"/>
    <m/>
    <n v="28400"/>
    <n v="8000"/>
    <n v="1636800"/>
    <n v="0.12300000000000001"/>
    <n v="147600.00000000003"/>
    <n v="44575.200000000004"/>
    <n v="1784400"/>
    <n v="157327.64505119453"/>
    <n v="47512.94880546075"/>
    <n v="1500400"/>
    <n v="453120.8"/>
    <n v="35103"/>
    <n v="1805327.6450511946"/>
    <n v="545208.94880546071"/>
    <n v="2350536.5938566551"/>
  </r>
  <r>
    <x v="15"/>
    <s v="Emp_266"/>
    <s v="Senior Specialist"/>
    <x v="2"/>
    <n v="1"/>
    <n v="116400"/>
    <n v="100000"/>
    <m/>
    <n v="8400"/>
    <n v="8000"/>
    <n v="1396800"/>
    <n v="0.12300000000000001"/>
    <n v="147600.00000000003"/>
    <n v="44575.200000000004"/>
    <n v="1544400"/>
    <n v="136167.23549488053"/>
    <n v="41122.505119453919"/>
    <n v="1280400"/>
    <n v="386680.8"/>
    <n v="35103"/>
    <n v="1564167.2354948805"/>
    <n v="472378.50511945388"/>
    <n v="2036545.7406143344"/>
  </r>
  <r>
    <x v="15"/>
    <s v="Emp_267"/>
    <s v="Senior Specialist"/>
    <x v="2"/>
    <n v="1"/>
    <n v="92600"/>
    <n v="80000"/>
    <m/>
    <n v="6200"/>
    <n v="6400"/>
    <n v="1111200"/>
    <n v="0.12300000000000001"/>
    <n v="118080.00000000003"/>
    <n v="35660.160000000011"/>
    <n v="1229280"/>
    <n v="108383.61774744026"/>
    <n v="32731.852559726958"/>
    <n v="1018600"/>
    <n v="307617.2"/>
    <n v="35103"/>
    <n v="1245063.6177474402"/>
    <n v="376009.21255972696"/>
    <n v="1621072.8303071673"/>
  </r>
  <r>
    <x v="15"/>
    <s v="Emp_268"/>
    <s v="Senior Specialist"/>
    <x v="2"/>
    <n v="1"/>
    <n v="92600"/>
    <n v="80000"/>
    <m/>
    <n v="6200"/>
    <n v="6400"/>
    <n v="1111200"/>
    <n v="0.12300000000000001"/>
    <n v="118080.00000000003"/>
    <n v="35660.160000000011"/>
    <n v="1229280"/>
    <n v="108383.61774744026"/>
    <n v="32731.852559726958"/>
    <n v="1018600"/>
    <n v="307617.2"/>
    <n v="35103"/>
    <n v="1245063.6177474402"/>
    <n v="376009.21255972696"/>
    <n v="1621072.8303071673"/>
  </r>
  <r>
    <x v="15"/>
    <s v="Emp_269"/>
    <s v="Electrical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15"/>
    <s v="Emp_270"/>
    <s v="Welder"/>
    <x v="5"/>
    <n v="1"/>
    <n v="104800"/>
    <n v="80000"/>
    <m/>
    <n v="18400"/>
    <n v="6400"/>
    <n v="1257600"/>
    <n v="0.12300000000000001"/>
    <n v="118080.00000000003"/>
    <n v="35660.160000000011"/>
    <n v="1375680"/>
    <n v="121291.46757679181"/>
    <n v="36630.023208191124"/>
    <n v="1152800"/>
    <n v="348145.6"/>
    <n v="35103"/>
    <n v="1392171.4675767918"/>
    <n v="420435.7832081911"/>
    <n v="1812607.2507849829"/>
  </r>
  <r>
    <x v="15"/>
    <s v="Emp_271"/>
    <s v="HVAC Maintenance Technician"/>
    <x v="5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15"/>
    <s v="Emp_272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3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4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5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6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7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8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79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80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81"/>
    <s v="Senior Specialist"/>
    <x v="2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15"/>
    <s v="Emp_282"/>
    <s v="Senior Specialist"/>
    <x v="2"/>
    <n v="1"/>
    <n v="46000"/>
    <n v="30000"/>
    <m/>
    <n v="13600"/>
    <n v="2400"/>
    <n v="552000"/>
    <n v="0.12300000000000001"/>
    <n v="44280.000000000007"/>
    <n v="13372.560000000001"/>
    <n v="596280"/>
    <n v="52573.037542662118"/>
    <n v="15877.05733788396"/>
    <n v="506000"/>
    <n v="152812"/>
    <n v="35103"/>
    <n v="602853.03754266212"/>
    <n v="182061.61733788397"/>
    <n v="784914.65488054603"/>
  </r>
  <r>
    <x v="15"/>
    <s v="Emp_283"/>
    <s v="Senior Specialist"/>
    <x v="2"/>
    <n v="1"/>
    <n v="50200"/>
    <n v="30000"/>
    <m/>
    <n v="17800"/>
    <n v="2400"/>
    <n v="602400"/>
    <n v="0.12300000000000001"/>
    <n v="44280.000000000007"/>
    <n v="13372.560000000001"/>
    <n v="646680"/>
    <n v="57016.723549488059"/>
    <n v="17219.050511945392"/>
    <n v="552200"/>
    <n v="166764.4"/>
    <n v="35103"/>
    <n v="653496.723549488"/>
    <n v="197356.01051194538"/>
    <n v="850852.73406143335"/>
  </r>
  <r>
    <x v="16"/>
    <s v="Emp_284"/>
    <s v="Department Manager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16"/>
    <s v="Emp_285"/>
    <s v="Deputy 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16"/>
    <s v="Emp_286"/>
    <s v="Advisor"/>
    <x v="2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16"/>
    <s v="Emp_287"/>
    <s v="Specialist"/>
    <x v="2"/>
    <n v="1"/>
    <n v="104800"/>
    <n v="100000"/>
    <m/>
    <n v="-3200"/>
    <n v="8000"/>
    <n v="1257600"/>
    <n v="0.12300000000000001"/>
    <n v="147600.00000000003"/>
    <n v="44575.200000000004"/>
    <n v="1405200"/>
    <n v="123894.19795221843"/>
    <n v="37416.047781569963"/>
    <n v="1152800"/>
    <n v="348145.6"/>
    <n v="35103"/>
    <n v="1424294.1979522184"/>
    <n v="430136.84778156993"/>
    <n v="1854431.0457337883"/>
  </r>
  <r>
    <x v="16"/>
    <s v="Emp_288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89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90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91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92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93"/>
    <s v="Operator"/>
    <x v="6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6"/>
    <s v="Emp_294"/>
    <s v="Janitor"/>
    <x v="7"/>
    <n v="1"/>
    <n v="42400"/>
    <n v="35000"/>
    <m/>
    <n v="4600"/>
    <n v="2800"/>
    <n v="508800"/>
    <n v="0.12300000000000001"/>
    <n v="51660"/>
    <n v="15601.32"/>
    <n v="560460"/>
    <n v="49414.84641638225"/>
    <n v="14923.283617747438"/>
    <n v="466400"/>
    <n v="140852.79999999999"/>
    <n v="35103"/>
    <n v="567474.84641638224"/>
    <n v="171377.40361774742"/>
    <n v="738852.25003412971"/>
  </r>
  <r>
    <x v="16"/>
    <s v="Emp_295"/>
    <s v="Janitor"/>
    <x v="7"/>
    <n v="1"/>
    <n v="48400"/>
    <n v="35000"/>
    <m/>
    <n v="10600"/>
    <n v="2800"/>
    <n v="580800"/>
    <n v="0.12300000000000001"/>
    <n v="51660"/>
    <n v="15601.32"/>
    <n v="632460"/>
    <n v="55762.969283276449"/>
    <n v="16840.416723549486"/>
    <n v="532400"/>
    <n v="160784.79999999999"/>
    <n v="35103"/>
    <n v="639822.96928327647"/>
    <n v="193226.53672354948"/>
    <n v="833049.50600682595"/>
  </r>
  <r>
    <x v="16"/>
    <s v="Emp_296"/>
    <s v="Janitor"/>
    <x v="7"/>
    <n v="1"/>
    <n v="48400"/>
    <n v="35000"/>
    <m/>
    <n v="10600"/>
    <n v="2800"/>
    <n v="580800"/>
    <n v="0.12300000000000001"/>
    <n v="51660"/>
    <n v="15601.32"/>
    <n v="632460"/>
    <n v="55762.969283276449"/>
    <n v="16840.416723549486"/>
    <n v="532400"/>
    <n v="160784.79999999999"/>
    <n v="35103"/>
    <n v="639822.96928327647"/>
    <n v="193226.53672354948"/>
    <n v="833049.50600682595"/>
  </r>
  <r>
    <x v="16"/>
    <s v="Emp_297"/>
    <s v="Janitor"/>
    <x v="7"/>
    <n v="1"/>
    <n v="48400"/>
    <n v="35000"/>
    <m/>
    <n v="10600"/>
    <n v="2800"/>
    <n v="580800"/>
    <n v="0.12300000000000001"/>
    <n v="51660"/>
    <n v="15601.32"/>
    <n v="632460"/>
    <n v="55762.969283276449"/>
    <n v="16840.416723549486"/>
    <n v="532400"/>
    <n v="160784.79999999999"/>
    <n v="35103"/>
    <n v="639822.96928327647"/>
    <n v="193226.53672354948"/>
    <n v="833049.50600682595"/>
  </r>
  <r>
    <x v="16"/>
    <s v="Emp_298"/>
    <s v="Janitor"/>
    <x v="7"/>
    <n v="1"/>
    <n v="84000"/>
    <n v="35000"/>
    <m/>
    <n v="46200"/>
    <n v="2800"/>
    <n v="1008000"/>
    <n v="0.12300000000000001"/>
    <n v="51660"/>
    <n v="15601.32"/>
    <n v="1059660"/>
    <n v="93428.498293515368"/>
    <n v="28215.40648464164"/>
    <n v="924000"/>
    <n v="279048"/>
    <n v="35103"/>
    <n v="1069088.4982935153"/>
    <n v="322864.72648464167"/>
    <n v="1391953.224778157"/>
  </r>
  <r>
    <x v="16"/>
    <s v="Emp_299"/>
    <s v="Janitor"/>
    <x v="7"/>
    <n v="1"/>
    <n v="40260"/>
    <n v="35000"/>
    <m/>
    <n v="2460"/>
    <n v="2800"/>
    <n v="483120"/>
    <n v="0.12300000000000001"/>
    <n v="51660"/>
    <n v="15601.32"/>
    <n v="534780"/>
    <n v="47150.682593856654"/>
    <n v="14239.50614334471"/>
    <n v="442860"/>
    <n v="133743.72"/>
    <n v="35103"/>
    <n v="541670.68259385671"/>
    <n v="163584.54614334472"/>
    <n v="705255.22873720143"/>
  </r>
  <r>
    <x v="16"/>
    <s v="Emp_300"/>
    <s v="Janitor"/>
    <x v="7"/>
    <n v="1"/>
    <n v="47000"/>
    <n v="35000"/>
    <m/>
    <n v="9200"/>
    <n v="2800"/>
    <n v="564000"/>
    <n v="0.12300000000000001"/>
    <n v="51660"/>
    <n v="15601.32"/>
    <n v="615660"/>
    <n v="54281.740614334471"/>
    <n v="16393.085665529008"/>
    <n v="517000"/>
    <n v="156134"/>
    <n v="35103"/>
    <n v="622941.74061433447"/>
    <n v="188128.40566552902"/>
    <n v="811070.14627986355"/>
  </r>
  <r>
    <x v="16"/>
    <s v="Emp_301"/>
    <s v="Janitor"/>
    <x v="7"/>
    <n v="1"/>
    <n v="40260"/>
    <n v="35000"/>
    <m/>
    <n v="2460"/>
    <n v="2800"/>
    <n v="483120"/>
    <n v="0.12300000000000001"/>
    <n v="51660"/>
    <n v="15601.32"/>
    <n v="534780"/>
    <n v="47150.682593856654"/>
    <n v="14239.50614334471"/>
    <n v="442860"/>
    <n v="133743.72"/>
    <n v="35103"/>
    <n v="541670.68259385671"/>
    <n v="163584.54614334472"/>
    <n v="705255.22873720143"/>
  </r>
  <r>
    <x v="16"/>
    <s v="Emp_302"/>
    <s v="Janitor"/>
    <x v="7"/>
    <n v="1"/>
    <n v="40260"/>
    <n v="35000"/>
    <m/>
    <n v="2460"/>
    <n v="2800"/>
    <n v="483120"/>
    <n v="0.12300000000000001"/>
    <n v="51660"/>
    <n v="15601.32"/>
    <n v="534780"/>
    <n v="47150.682593856654"/>
    <n v="14239.50614334471"/>
    <n v="442860"/>
    <n v="133743.72"/>
    <n v="35103"/>
    <n v="541670.68259385671"/>
    <n v="163584.54614334472"/>
    <n v="705255.22873720143"/>
  </r>
  <r>
    <x v="16"/>
    <s v="Emp_303"/>
    <s v="Janitor"/>
    <x v="7"/>
    <n v="1"/>
    <n v="40260"/>
    <n v="35000"/>
    <m/>
    <n v="2460"/>
    <n v="2800"/>
    <n v="483120"/>
    <n v="0.12300000000000001"/>
    <n v="51660"/>
    <n v="15601.32"/>
    <n v="534780"/>
    <n v="47150.682593856654"/>
    <n v="14239.50614334471"/>
    <n v="442860"/>
    <n v="133743.72"/>
    <n v="35103"/>
    <n v="541670.68259385671"/>
    <n v="163584.54614334472"/>
    <n v="705255.22873720143"/>
  </r>
  <r>
    <x v="16"/>
    <s v="Emp_304"/>
    <s v="Operator"/>
    <x v="6"/>
    <n v="1"/>
    <n v="64000"/>
    <n v="35000"/>
    <m/>
    <n v="26200"/>
    <n v="2800"/>
    <n v="768000"/>
    <n v="0.12300000000000001"/>
    <n v="51660"/>
    <n v="15601.32"/>
    <n v="819660"/>
    <n v="72268.088737201353"/>
    <n v="21824.96279863481"/>
    <n v="704000"/>
    <n v="212608"/>
    <n v="35103"/>
    <n v="827928.08873720141"/>
    <n v="250034.28279863481"/>
    <n v="1077962.3715358363"/>
  </r>
  <r>
    <x v="16"/>
    <s v="Emp_305"/>
    <s v="Operator"/>
    <x v="6"/>
    <n v="1"/>
    <n v="64000"/>
    <n v="35000"/>
    <m/>
    <n v="26200"/>
    <n v="2800"/>
    <n v="768000"/>
    <n v="0.12300000000000001"/>
    <n v="51660"/>
    <n v="15601.32"/>
    <n v="819660"/>
    <n v="72268.088737201353"/>
    <n v="21824.96279863481"/>
    <n v="704000"/>
    <n v="212608"/>
    <n v="35103"/>
    <n v="827928.08873720141"/>
    <n v="250034.28279863481"/>
    <n v="1077962.3715358363"/>
  </r>
  <r>
    <x v="16"/>
    <s v="Emp_306"/>
    <s v="Operator"/>
    <x v="6"/>
    <n v="1"/>
    <n v="64000"/>
    <n v="35000"/>
    <m/>
    <n v="26200"/>
    <n v="2800"/>
    <n v="768000"/>
    <n v="0.12300000000000001"/>
    <n v="51660"/>
    <n v="15601.32"/>
    <n v="819660"/>
    <n v="72268.088737201353"/>
    <n v="21824.96279863481"/>
    <n v="704000"/>
    <n v="212608"/>
    <n v="35103"/>
    <n v="827928.08873720141"/>
    <n v="250034.28279863481"/>
    <n v="1077962.3715358363"/>
  </r>
  <r>
    <x v="16"/>
    <s v="Emp_307"/>
    <s v="Operator"/>
    <x v="6"/>
    <n v="1"/>
    <n v="64000"/>
    <n v="35000"/>
    <m/>
    <n v="26200"/>
    <n v="2800"/>
    <n v="768000"/>
    <n v="0.12300000000000001"/>
    <n v="51660"/>
    <n v="15601.32"/>
    <n v="819660"/>
    <n v="72268.088737201353"/>
    <n v="21824.96279863481"/>
    <n v="704000"/>
    <n v="212608"/>
    <n v="35103"/>
    <n v="827928.08873720141"/>
    <n v="250034.28279863481"/>
    <n v="1077962.3715358363"/>
  </r>
  <r>
    <x v="17"/>
    <s v="Emp_308"/>
    <s v="Chief Power Engineer"/>
    <x v="4"/>
    <n v="1"/>
    <n v="184100"/>
    <n v="145000"/>
    <m/>
    <n v="27500"/>
    <n v="11600"/>
    <n v="2209200"/>
    <n v="0.12300000000000001"/>
    <n v="214020"/>
    <n v="64634.04"/>
    <n v="2423220"/>
    <n v="213651.36518771332"/>
    <n v="64522.712286689421"/>
    <n v="2025100"/>
    <n v="611580.19999999995"/>
    <n v="52684"/>
    <n v="2452771.3651877134"/>
    <n v="740736.95228668931"/>
    <n v="3193508.3174744025"/>
  </r>
  <r>
    <x v="17"/>
    <s v="Emp_309"/>
    <s v="Deputy Chief Power Engineer"/>
    <x v="4"/>
    <n v="1"/>
    <n v="238600"/>
    <n v="145000"/>
    <m/>
    <n v="82000"/>
    <n v="11600"/>
    <n v="2863200"/>
    <n v="0.12300000000000001"/>
    <n v="214020"/>
    <n v="64634.04"/>
    <n v="3077220"/>
    <n v="271313.48122866894"/>
    <n v="81936.671331058023"/>
    <n v="2624600"/>
    <n v="792629.2"/>
    <n v="52684"/>
    <n v="3109933.4812286692"/>
    <n v="939199.91133105801"/>
    <n v="4049133.3925597272"/>
  </r>
  <r>
    <x v="17"/>
    <s v="Emp_310"/>
    <s v="Senior Specialist"/>
    <x v="2"/>
    <n v="1"/>
    <n v="136000"/>
    <n v="145000"/>
    <m/>
    <n v="-20600"/>
    <n v="11600"/>
    <n v="1632000"/>
    <n v="0.12300000000000001"/>
    <n v="661200"/>
    <n v="199682.4"/>
    <n v="2293200"/>
    <n v="202187.71331058021"/>
    <n v="61060.689419795221"/>
    <n v="1496000"/>
    <n v="451792"/>
    <n v="52684"/>
    <n v="2359387.7133105802"/>
    <n v="712535.0894197952"/>
    <n v="3071922.8027303754"/>
  </r>
  <r>
    <x v="18"/>
    <s v="Emp_311"/>
    <s v="Deputy CEO for Operations"/>
    <x v="0"/>
    <n v="1"/>
    <n v="386000"/>
    <n v="200000"/>
    <m/>
    <n v="170000"/>
    <n v="16000"/>
    <n v="4632000"/>
    <n v="0.38"/>
    <n v="912000"/>
    <n v="275424"/>
    <n v="5544000"/>
    <n v="488805.46075085324"/>
    <n v="147619.24914675768"/>
    <n v="4246000"/>
    <n v="1090975"/>
    <n v="69507"/>
    <n v="5646805.4607508536"/>
    <n v="1514018.2491467576"/>
    <n v="7160823.7098976113"/>
  </r>
  <r>
    <x v="18"/>
    <s v="Emp_312"/>
    <s v="Advisor"/>
    <x v="2"/>
    <n v="1"/>
    <n v="396000"/>
    <n v="200000"/>
    <m/>
    <n v="18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18"/>
    <s v="Emp_313"/>
    <s v="Advisor"/>
    <x v="2"/>
    <n v="1"/>
    <n v="184100"/>
    <n v="145000"/>
    <m/>
    <n v="27500"/>
    <n v="11600"/>
    <n v="2209200"/>
    <n v="0.12300000000000001"/>
    <n v="214020"/>
    <n v="64634.04"/>
    <n v="2423220"/>
    <n v="213651.36518771332"/>
    <n v="64522.712286689421"/>
    <n v="2025100"/>
    <n v="611580.19999999995"/>
    <n v="52684"/>
    <n v="2452771.3651877134"/>
    <n v="740736.95228668931"/>
    <n v="3193508.3174744025"/>
  </r>
  <r>
    <x v="18"/>
    <s v="Emp_314"/>
    <s v="Assistant"/>
    <x v="1"/>
    <n v="1"/>
    <n v="231600"/>
    <n v="145000"/>
    <m/>
    <n v="75000"/>
    <n v="11600"/>
    <n v="2779200"/>
    <n v="0.12300000000000001"/>
    <n v="661200"/>
    <n v="199682.4"/>
    <n v="3440400"/>
    <n v="303334.47098976106"/>
    <n v="91607.010238907838"/>
    <n v="2547600"/>
    <n v="769375.2"/>
    <n v="52684"/>
    <n v="3512134.4709897609"/>
    <n v="1060664.6102389079"/>
    <n v="4572799.0812286688"/>
  </r>
  <r>
    <x v="18"/>
    <s v="Emp_315"/>
    <s v="Senior Engineer"/>
    <x v="4"/>
    <n v="1"/>
    <n v="301000"/>
    <n v="200000"/>
    <m/>
    <n v="85000"/>
    <n v="16000"/>
    <n v="3612000"/>
    <n v="0.38"/>
    <n v="295200.00000000006"/>
    <n v="89150.400000000009"/>
    <n v="3907200"/>
    <n v="344491.46757679182"/>
    <n v="104036.42320819113"/>
    <n v="3311000"/>
    <n v="949790"/>
    <n v="69507"/>
    <n v="3950691.467576792"/>
    <n v="1142976.8232081912"/>
    <n v="5093668.290784983"/>
  </r>
  <r>
    <x v="18"/>
    <s v="Emp_316"/>
    <s v="Assistant to the Deputy CEO"/>
    <x v="1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19"/>
    <s v="Emp_317"/>
    <s v="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19"/>
    <s v="Emp_318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9"/>
    <s v="Emp_319"/>
    <s v="Deputy Department Manager"/>
    <x v="3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9"/>
    <s v="Emp_320"/>
    <s v="Deputy Department Manager"/>
    <x v="3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9"/>
    <s v="Emp_321"/>
    <s v="Deputy Department Manager"/>
    <x v="3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19"/>
    <s v="Emp_322"/>
    <s v="Lead Specialist"/>
    <x v="2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19"/>
    <s v="Emp_323"/>
    <s v="Lead Specialist"/>
    <x v="2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19"/>
    <s v="Emp_324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2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2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27"/>
    <s v="Custodian"/>
    <x v="7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9"/>
    <s v="Emp_328"/>
    <s v="Custodian"/>
    <x v="7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9"/>
    <s v="Emp_329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30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31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32"/>
    <s v="Custodian"/>
    <x v="7"/>
    <n v="1"/>
    <n v="74000"/>
    <n v="35000"/>
    <m/>
    <n v="36200"/>
    <n v="2800"/>
    <n v="888000"/>
    <n v="0.12300000000000001"/>
    <n v="51660"/>
    <n v="15601.32"/>
    <n v="939660"/>
    <n v="82848.293515358368"/>
    <n v="25020.184641638225"/>
    <n v="814000"/>
    <n v="245828"/>
    <n v="35103"/>
    <n v="948508.29351535835"/>
    <n v="286449.50464163825"/>
    <n v="1234957.7981569967"/>
  </r>
  <r>
    <x v="19"/>
    <s v="Emp_333"/>
    <s v="Custodian"/>
    <x v="7"/>
    <n v="1"/>
    <n v="74000"/>
    <n v="35000"/>
    <m/>
    <n v="36200"/>
    <n v="2800"/>
    <n v="888000"/>
    <n v="0.12300000000000001"/>
    <n v="51660"/>
    <n v="15601.32"/>
    <n v="939660"/>
    <n v="82848.293515358368"/>
    <n v="25020.184641638225"/>
    <n v="814000"/>
    <n v="245828"/>
    <n v="35103"/>
    <n v="948508.29351535835"/>
    <n v="286449.50464163825"/>
    <n v="1234957.7981569967"/>
  </r>
  <r>
    <x v="19"/>
    <s v="Emp_334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35"/>
    <s v="Custodian"/>
    <x v="7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9"/>
    <s v="Emp_336"/>
    <s v="Custodian"/>
    <x v="7"/>
    <n v="1"/>
    <n v="46400"/>
    <n v="35000"/>
    <m/>
    <n v="8600"/>
    <n v="2800"/>
    <n v="556800"/>
    <n v="0.12300000000000001"/>
    <n v="51660"/>
    <n v="15601.32"/>
    <n v="608460"/>
    <n v="53646.928327645051"/>
    <n v="16201.372354948806"/>
    <n v="510400"/>
    <n v="154140.79999999999"/>
    <n v="35103"/>
    <n v="615706.92832764506"/>
    <n v="185943.4923549488"/>
    <n v="801650.42068259383"/>
  </r>
  <r>
    <x v="19"/>
    <s v="Emp_337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38"/>
    <s v="Custodian"/>
    <x v="7"/>
    <n v="1"/>
    <n v="81000"/>
    <n v="50000"/>
    <m/>
    <n v="27000"/>
    <n v="4000"/>
    <n v="972000"/>
    <n v="0.12300000000000001"/>
    <n v="73800.000000000015"/>
    <n v="22287.600000000002"/>
    <n v="1045800"/>
    <n v="92206.484641638221"/>
    <n v="27846.358361774743"/>
    <n v="891000"/>
    <n v="269082"/>
    <n v="35103"/>
    <n v="1057006.4846416381"/>
    <n v="319215.95836177474"/>
    <n v="1376222.4430034128"/>
  </r>
  <r>
    <x v="19"/>
    <s v="Emp_339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40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41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42"/>
    <s v="Custodian"/>
    <x v="7"/>
    <n v="1"/>
    <n v="81000"/>
    <n v="50000"/>
    <m/>
    <n v="27000"/>
    <n v="4000"/>
    <n v="972000"/>
    <n v="0.12300000000000001"/>
    <n v="73800.000000000015"/>
    <n v="22287.600000000002"/>
    <n v="1045800"/>
    <n v="92206.484641638221"/>
    <n v="27846.358361774743"/>
    <n v="891000"/>
    <n v="269082"/>
    <n v="35103"/>
    <n v="1057006.4846416381"/>
    <n v="319215.95836177474"/>
    <n v="1376222.4430034128"/>
  </r>
  <r>
    <x v="19"/>
    <s v="Emp_343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44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45"/>
    <s v="Custodian"/>
    <x v="7"/>
    <n v="1"/>
    <n v="81000"/>
    <n v="50000"/>
    <m/>
    <n v="27000"/>
    <n v="4000"/>
    <n v="972000"/>
    <n v="0.12300000000000001"/>
    <n v="73800.000000000015"/>
    <n v="22287.600000000002"/>
    <n v="1045800"/>
    <n v="92206.484641638221"/>
    <n v="27846.358361774743"/>
    <n v="891000"/>
    <n v="269082"/>
    <n v="35103"/>
    <n v="1057006.4846416381"/>
    <n v="319215.95836177474"/>
    <n v="1376222.4430034128"/>
  </r>
  <r>
    <x v="19"/>
    <s v="Emp_346"/>
    <s v="Custodian"/>
    <x v="7"/>
    <n v="1"/>
    <n v="52400"/>
    <n v="35000"/>
    <m/>
    <n v="14600"/>
    <n v="2800"/>
    <n v="628800"/>
    <n v="0.12300000000000001"/>
    <n v="51660"/>
    <n v="15601.32"/>
    <n v="680460"/>
    <n v="59995.05119453925"/>
    <n v="18118.505460750854"/>
    <n v="576400"/>
    <n v="174072.8"/>
    <n v="35103"/>
    <n v="688055.05119453929"/>
    <n v="207792.62546075083"/>
    <n v="895847.67665529018"/>
  </r>
  <r>
    <x v="19"/>
    <s v="Emp_347"/>
    <s v="Custodian"/>
    <x v="7"/>
    <n v="1"/>
    <n v="48400"/>
    <n v="35000"/>
    <m/>
    <n v="10600"/>
    <n v="2800"/>
    <n v="580800"/>
    <n v="0.12300000000000001"/>
    <n v="51660"/>
    <n v="15601.32"/>
    <n v="632460"/>
    <n v="55762.969283276449"/>
    <n v="16840.416723549486"/>
    <n v="532400"/>
    <n v="160784.79999999999"/>
    <n v="35103"/>
    <n v="639822.96928327647"/>
    <n v="193226.53672354948"/>
    <n v="833049.50600682595"/>
  </r>
  <r>
    <x v="19"/>
    <s v="Emp_348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49"/>
    <s v="Custodian"/>
    <x v="7"/>
    <n v="1"/>
    <n v="50200"/>
    <n v="35000"/>
    <m/>
    <n v="12400"/>
    <n v="2800"/>
    <n v="602400"/>
    <n v="0.12300000000000001"/>
    <n v="51660"/>
    <n v="15601.32"/>
    <n v="654060"/>
    <n v="57667.406143344706"/>
    <n v="17415.5566552901"/>
    <n v="552200"/>
    <n v="166764.4"/>
    <n v="35103"/>
    <n v="661527.40614334471"/>
    <n v="199781.2766552901"/>
    <n v="861308.68279863475"/>
  </r>
  <r>
    <x v="19"/>
    <s v="Emp_35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51"/>
    <s v="Custodian"/>
    <x v="7"/>
    <n v="1"/>
    <n v="54800"/>
    <n v="35000"/>
    <m/>
    <n v="17000"/>
    <n v="2800"/>
    <n v="657600"/>
    <n v="0.12300000000000001"/>
    <n v="51660"/>
    <n v="15601.32"/>
    <n v="709260"/>
    <n v="62534.300341296926"/>
    <n v="18885.35870307167"/>
    <n v="602800"/>
    <n v="182045.6"/>
    <n v="35103"/>
    <n v="716994.30034129694"/>
    <n v="216532.27870307167"/>
    <n v="933526.57904436858"/>
  </r>
  <r>
    <x v="19"/>
    <s v="Emp_352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53"/>
    <s v="Custodian"/>
    <x v="7"/>
    <n v="1"/>
    <n v="58175"/>
    <n v="35000"/>
    <m/>
    <n v="20375"/>
    <n v="2800"/>
    <n v="698100"/>
    <n v="0.12300000000000001"/>
    <n v="51660"/>
    <n v="15601.32"/>
    <n v="749760"/>
    <n v="66105.119453924912"/>
    <n v="19963.746075085324"/>
    <n v="639925"/>
    <n v="193257.35"/>
    <n v="35103"/>
    <n v="757690.11945392494"/>
    <n v="228822.41607508535"/>
    <n v="986512.53552901023"/>
  </r>
  <r>
    <x v="19"/>
    <s v="Emp_35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55"/>
    <s v="Custodian"/>
    <x v="7"/>
    <n v="1"/>
    <n v="51800"/>
    <n v="35000"/>
    <m/>
    <n v="14000"/>
    <n v="2800"/>
    <n v="621600"/>
    <n v="0.12300000000000001"/>
    <n v="51660"/>
    <n v="15601.32"/>
    <n v="673260"/>
    <n v="59360.238907849831"/>
    <n v="17926.792150170648"/>
    <n v="569800"/>
    <n v="172079.6"/>
    <n v="35103"/>
    <n v="680820.23890784988"/>
    <n v="205607.71215017064"/>
    <n v="886427.95105802058"/>
  </r>
  <r>
    <x v="19"/>
    <s v="Emp_35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57"/>
    <s v="Custodian"/>
    <x v="7"/>
    <n v="1"/>
    <n v="81000"/>
    <n v="50000"/>
    <m/>
    <n v="27000"/>
    <n v="4000"/>
    <n v="972000"/>
    <n v="0.12300000000000001"/>
    <n v="73800.000000000015"/>
    <n v="22287.600000000002"/>
    <n v="1045800"/>
    <n v="92206.484641638221"/>
    <n v="27846.358361774743"/>
    <n v="891000"/>
    <n v="269082"/>
    <n v="35103"/>
    <n v="1057006.4846416381"/>
    <n v="319215.95836177474"/>
    <n v="1376222.4430034128"/>
  </r>
  <r>
    <x v="19"/>
    <s v="Emp_358"/>
    <s v="Custodian"/>
    <x v="7"/>
    <n v="1"/>
    <n v="34760"/>
    <n v="30000"/>
    <m/>
    <n v="2360"/>
    <n v="2400"/>
    <n v="417120"/>
    <n v="0.12300000000000001"/>
    <n v="44280.000000000007"/>
    <n v="13372.560000000001"/>
    <n v="461400"/>
    <n v="40680.887372013654"/>
    <n v="12285.627986348123"/>
    <n v="382360"/>
    <n v="115472.72"/>
    <n v="35103"/>
    <n v="467320.88737201365"/>
    <n v="141130.90798634812"/>
    <n v="608451.79535836179"/>
  </r>
  <r>
    <x v="19"/>
    <s v="Emp_359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60"/>
    <s v="Linen Room Attendant"/>
    <x v="7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19"/>
    <s v="Emp_361"/>
    <s v="Rigger"/>
    <x v="5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19"/>
    <s v="Emp_362"/>
    <s v="Senior Rigger"/>
    <x v="5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19"/>
    <s v="Emp_363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64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65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66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67"/>
    <s v="Senior Specialist"/>
    <x v="2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68"/>
    <s v="Senior Specialist"/>
    <x v="2"/>
    <n v="1"/>
    <n v="64000"/>
    <n v="35000"/>
    <m/>
    <n v="26200"/>
    <n v="2800"/>
    <n v="768000"/>
    <n v="0.12300000000000001"/>
    <n v="51660"/>
    <n v="15601.32"/>
    <n v="819660"/>
    <n v="72268.088737201353"/>
    <n v="21824.96279863481"/>
    <n v="704000"/>
    <n v="212608"/>
    <n v="35103"/>
    <n v="827928.08873720141"/>
    <n v="250034.28279863481"/>
    <n v="1077962.3715358363"/>
  </r>
  <r>
    <x v="19"/>
    <s v="Emp_36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70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71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72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73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74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37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76"/>
    <s v="Custodian"/>
    <x v="7"/>
    <n v="1"/>
    <n v="69000"/>
    <n v="35000"/>
    <m/>
    <n v="31200"/>
    <n v="2800"/>
    <n v="828000"/>
    <n v="0.12300000000000001"/>
    <n v="51660"/>
    <n v="15601.32"/>
    <n v="879660"/>
    <n v="77558.191126279853"/>
    <n v="23422.573720136515"/>
    <n v="759000"/>
    <n v="229218"/>
    <n v="35103"/>
    <n v="888218.19112627988"/>
    <n v="268241.89372013649"/>
    <n v="1156460.0848464165"/>
  </r>
  <r>
    <x v="19"/>
    <s v="Emp_377"/>
    <s v="Custodian"/>
    <x v="7"/>
    <n v="1"/>
    <n v="69000"/>
    <n v="35000"/>
    <m/>
    <n v="31200"/>
    <n v="2800"/>
    <n v="828000"/>
    <n v="0.12300000000000001"/>
    <n v="51660"/>
    <n v="15601.32"/>
    <n v="879660"/>
    <n v="77558.191126279853"/>
    <n v="23422.573720136515"/>
    <n v="759000"/>
    <n v="229218"/>
    <n v="35103"/>
    <n v="888218.19112627988"/>
    <n v="268241.89372013649"/>
    <n v="1156460.0848464165"/>
  </r>
  <r>
    <x v="19"/>
    <s v="Emp_37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7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2"/>
    <s v="Custodian"/>
    <x v="7"/>
    <n v="1"/>
    <n v="51800"/>
    <n v="35000"/>
    <m/>
    <n v="14000"/>
    <n v="2800"/>
    <n v="621600"/>
    <n v="0.12300000000000001"/>
    <n v="51660"/>
    <n v="15601.32"/>
    <n v="673260"/>
    <n v="59360.238907849831"/>
    <n v="17926.792150170648"/>
    <n v="569800"/>
    <n v="172079.6"/>
    <n v="35103"/>
    <n v="680820.23890784988"/>
    <n v="205607.71215017064"/>
    <n v="886427.95105802058"/>
  </r>
  <r>
    <x v="19"/>
    <s v="Emp_383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8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9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9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392"/>
    <s v="Custodian"/>
    <x v="7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93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94"/>
    <s v="Senior Rigger"/>
    <x v="5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19"/>
    <s v="Emp_395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96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97"/>
    <s v="Rigger"/>
    <x v="5"/>
    <n v="1"/>
    <n v="87920"/>
    <n v="60000"/>
    <m/>
    <n v="23120"/>
    <n v="4800"/>
    <n v="1055040"/>
    <n v="0.12300000000000001"/>
    <n v="88560.000000000015"/>
    <n v="26745.120000000003"/>
    <n v="1143600"/>
    <n v="100829.35153583618"/>
    <n v="30450.464163822526"/>
    <n v="967120"/>
    <n v="292070.24"/>
    <n v="35103"/>
    <n v="1156509.3515358362"/>
    <n v="349265.82416382252"/>
    <n v="1505775.1756996587"/>
  </r>
  <r>
    <x v="19"/>
    <s v="Emp_398"/>
    <s v="General Laborer"/>
    <x v="6"/>
    <n v="1"/>
    <n v="84000"/>
    <n v="60000"/>
    <m/>
    <n v="19200"/>
    <n v="4800"/>
    <n v="1008000"/>
    <n v="0.12300000000000001"/>
    <n v="88560.000000000015"/>
    <n v="26745.120000000003"/>
    <n v="1096560"/>
    <n v="96681.911262798632"/>
    <n v="29197.937201365185"/>
    <n v="924000"/>
    <n v="279048"/>
    <n v="35103"/>
    <n v="1109241.9112627986"/>
    <n v="334991.05720136518"/>
    <n v="1444232.9684641638"/>
  </r>
  <r>
    <x v="19"/>
    <s v="Emp_399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19"/>
    <s v="Emp_400"/>
    <s v="Custodian"/>
    <x v="7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19"/>
    <s v="Emp_401"/>
    <s v="Custodian"/>
    <x v="7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19"/>
    <s v="Emp_402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03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04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05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06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0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0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0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2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3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1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2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3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2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2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3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3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2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43"/>
    <s v="Custodian"/>
    <x v="7"/>
    <n v="1"/>
    <n v="57800"/>
    <n v="35000"/>
    <m/>
    <n v="20000"/>
    <n v="2800"/>
    <n v="693600"/>
    <n v="0.12300000000000001"/>
    <n v="51660"/>
    <n v="15601.32"/>
    <n v="745260"/>
    <n v="65708.361774744029"/>
    <n v="19843.925255972696"/>
    <n v="635800"/>
    <n v="192011.6"/>
    <n v="35103"/>
    <n v="753168.361774744"/>
    <n v="227456.8452559727"/>
    <n v="980625.2070307167"/>
  </r>
  <r>
    <x v="19"/>
    <s v="Emp_444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5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6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7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8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49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50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51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19"/>
    <s v="Emp_452"/>
    <s v="Custodian"/>
    <x v="7"/>
    <n v="1"/>
    <n v="46000"/>
    <n v="35000"/>
    <m/>
    <n v="8200"/>
    <n v="2800"/>
    <n v="552000"/>
    <n v="0.12300000000000001"/>
    <n v="51660"/>
    <n v="15601.32"/>
    <n v="603660"/>
    <n v="53223.720136518765"/>
    <n v="16073.563481228666"/>
    <n v="506000"/>
    <n v="152812"/>
    <n v="35103"/>
    <n v="610883.72013651882"/>
    <n v="184486.88348122867"/>
    <n v="795370.60361774755"/>
  </r>
  <r>
    <x v="20"/>
    <s v="Emp_453"/>
    <s v="Department Manager"/>
    <x v="3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20"/>
    <s v="Emp_454"/>
    <s v="Senior Specialist"/>
    <x v="2"/>
    <n v="1"/>
    <n v="84800"/>
    <n v="60000"/>
    <m/>
    <n v="20000"/>
    <n v="4800"/>
    <n v="1017600"/>
    <n v="0.12300000000000001"/>
    <n v="88560.000000000015"/>
    <n v="26745.120000000003"/>
    <n v="1106160"/>
    <n v="97528.327645051191"/>
    <n v="29453.55494880546"/>
    <n v="932800"/>
    <n v="281705.59999999998"/>
    <n v="35103"/>
    <n v="1118888.3276450513"/>
    <n v="337904.27494880545"/>
    <n v="1456792.6025938569"/>
  </r>
  <r>
    <x v="20"/>
    <s v="Emp_455"/>
    <s v="Senior Specialist"/>
    <x v="2"/>
    <n v="1"/>
    <n v="104800"/>
    <n v="80000"/>
    <m/>
    <n v="18400"/>
    <n v="6400"/>
    <n v="1257600"/>
    <n v="0.12300000000000001"/>
    <n v="118080.00000000003"/>
    <n v="35660.160000000011"/>
    <n v="1375680"/>
    <n v="121291.46757679181"/>
    <n v="36630.023208191124"/>
    <n v="1152800"/>
    <n v="348145.6"/>
    <n v="35103"/>
    <n v="1392171.4675767918"/>
    <n v="420435.7832081911"/>
    <n v="1812607.2507849829"/>
  </r>
  <r>
    <x v="20"/>
    <s v="Emp_456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0"/>
    <s v="Emp_457"/>
    <s v="Specialist"/>
    <x v="2"/>
    <n v="1"/>
    <n v="54000"/>
    <n v="35000"/>
    <m/>
    <n v="16200"/>
    <n v="2800"/>
    <n v="648000"/>
    <n v="0.12300000000000001"/>
    <n v="51660"/>
    <n v="15601.32"/>
    <n v="699660"/>
    <n v="61687.883959044368"/>
    <n v="18629.740955631398"/>
    <n v="594000"/>
    <n v="179388"/>
    <n v="35103"/>
    <n v="707347.88395904435"/>
    <n v="213619.0609556314"/>
    <n v="920966.94491467578"/>
  </r>
  <r>
    <x v="20"/>
    <s v="Emp_458"/>
    <s v="Specialist"/>
    <x v="2"/>
    <n v="1"/>
    <n v="54000"/>
    <n v="35000"/>
    <m/>
    <n v="16200"/>
    <n v="2800"/>
    <n v="648000"/>
    <n v="0.12300000000000001"/>
    <n v="51660"/>
    <n v="15601.32"/>
    <n v="699660"/>
    <n v="61687.883959044368"/>
    <n v="18629.740955631398"/>
    <n v="594000"/>
    <n v="179388"/>
    <n v="35103"/>
    <n v="707347.88395904435"/>
    <n v="213619.0609556314"/>
    <n v="920966.94491467578"/>
  </r>
  <r>
    <x v="21"/>
    <s v="Emp_459"/>
    <s v="Senior Administrator"/>
    <x v="1"/>
    <n v="1"/>
    <n v="141000"/>
    <n v="100000"/>
    <m/>
    <n v="33000"/>
    <n v="8000"/>
    <n v="1692000"/>
    <n v="0.12300000000000001"/>
    <n v="147600.00000000003"/>
    <n v="44575.200000000004"/>
    <n v="1839600"/>
    <n v="162194.53924914676"/>
    <n v="48982.750853242324"/>
    <n v="1551000"/>
    <n v="468402"/>
    <n v="35103"/>
    <n v="1860794.5392491468"/>
    <n v="561959.95085324231"/>
    <n v="2422754.4901023889"/>
  </r>
  <r>
    <x v="21"/>
    <s v="Emp_460"/>
    <s v="Administrator"/>
    <x v="1"/>
    <n v="1"/>
    <n v="121400"/>
    <n v="100000"/>
    <m/>
    <n v="13400"/>
    <n v="8000"/>
    <n v="1456800"/>
    <n v="0.12300000000000001"/>
    <n v="147600.00000000003"/>
    <n v="44575.200000000004"/>
    <n v="1604400"/>
    <n v="141457.33788395903"/>
    <n v="42720.116040955625"/>
    <n v="1335400"/>
    <n v="403290.8"/>
    <n v="35103"/>
    <n v="1624457.3378839591"/>
    <n v="490586.11604095565"/>
    <n v="2115043.4539249148"/>
  </r>
  <r>
    <x v="21"/>
    <s v="Emp_461"/>
    <s v="Administrator"/>
    <x v="1"/>
    <n v="1"/>
    <n v="121400"/>
    <n v="100000"/>
    <m/>
    <n v="13400"/>
    <n v="8000"/>
    <n v="1456800"/>
    <n v="0.12300000000000001"/>
    <n v="147600.00000000003"/>
    <n v="44575.200000000004"/>
    <n v="1604400"/>
    <n v="141457.33788395903"/>
    <n v="42720.116040955625"/>
    <n v="1335400"/>
    <n v="403290.8"/>
    <n v="35103"/>
    <n v="1624457.3378839591"/>
    <n v="490586.11604095565"/>
    <n v="2115043.4539249148"/>
  </r>
  <r>
    <x v="21"/>
    <s v="Emp_462"/>
    <s v="Administrator"/>
    <x v="1"/>
    <n v="1"/>
    <n v="121400"/>
    <n v="100000"/>
    <m/>
    <n v="13400"/>
    <n v="8000"/>
    <n v="1456800"/>
    <n v="0.12300000000000001"/>
    <n v="147600.00000000003"/>
    <n v="44575.200000000004"/>
    <n v="1604400"/>
    <n v="141457.33788395903"/>
    <n v="42720.116040955625"/>
    <n v="1335400"/>
    <n v="403290.8"/>
    <n v="35103"/>
    <n v="1624457.3378839591"/>
    <n v="490586.11604095565"/>
    <n v="2115043.4539249148"/>
  </r>
  <r>
    <x v="21"/>
    <s v="Emp_463"/>
    <s v="Specialist"/>
    <x v="2"/>
    <n v="1"/>
    <n v="99800"/>
    <n v="80000"/>
    <m/>
    <n v="13400"/>
    <n v="6400"/>
    <n v="1197600"/>
    <n v="0.12300000000000001"/>
    <n v="118080.00000000003"/>
    <n v="35660.160000000011"/>
    <n v="1315680"/>
    <n v="116001.36518771331"/>
    <n v="35032.412286689418"/>
    <n v="1097800"/>
    <n v="331535.59999999998"/>
    <n v="35103"/>
    <n v="1331881.3651877134"/>
    <n v="402228.1722866894"/>
    <n v="1734109.5374744027"/>
  </r>
  <r>
    <x v="21"/>
    <s v="Emp_464"/>
    <s v="Specialist"/>
    <x v="2"/>
    <n v="1"/>
    <n v="99800"/>
    <n v="80000"/>
    <m/>
    <n v="13400"/>
    <n v="6400"/>
    <n v="1197600"/>
    <n v="0.12300000000000001"/>
    <n v="118080.00000000003"/>
    <n v="35660.160000000011"/>
    <n v="1315680"/>
    <n v="116001.36518771331"/>
    <n v="35032.412286689418"/>
    <n v="1097800"/>
    <n v="331535.59999999998"/>
    <n v="35103"/>
    <n v="1331881.3651877134"/>
    <n v="402228.1722866894"/>
    <n v="1734109.5374744027"/>
  </r>
  <r>
    <x v="21"/>
    <s v="Emp_465"/>
    <s v="Specialist"/>
    <x v="2"/>
    <n v="1"/>
    <n v="99800"/>
    <n v="80000"/>
    <m/>
    <n v="13400"/>
    <n v="6400"/>
    <n v="1197600"/>
    <n v="0.12300000000000001"/>
    <n v="118080.00000000003"/>
    <n v="35660.160000000011"/>
    <n v="1315680"/>
    <n v="116001.36518771331"/>
    <n v="35032.412286689418"/>
    <n v="1097800"/>
    <n v="331535.59999999998"/>
    <n v="35103"/>
    <n v="1331881.3651877134"/>
    <n v="402228.1722866894"/>
    <n v="1734109.5374744027"/>
  </r>
  <r>
    <x v="21"/>
    <s v="Emp_466"/>
    <s v="Cloakroom Attendant"/>
    <x v="7"/>
    <n v="1"/>
    <n v="40000"/>
    <n v="35000"/>
    <m/>
    <n v="2200"/>
    <n v="2800"/>
    <n v="480000"/>
    <n v="0.12300000000000001"/>
    <n v="51660"/>
    <n v="15601.32"/>
    <n v="531660"/>
    <n v="46875.597269624574"/>
    <n v="14156.43037542662"/>
    <n v="440000"/>
    <n v="132880"/>
    <n v="35103"/>
    <n v="538535.59726962459"/>
    <n v="162637.75037542661"/>
    <n v="701173.3476450512"/>
  </r>
  <r>
    <x v="21"/>
    <s v="Emp_467"/>
    <s v="Cloakroom Attendant"/>
    <x v="7"/>
    <n v="1"/>
    <n v="40000"/>
    <n v="35000"/>
    <m/>
    <n v="2200"/>
    <n v="2800"/>
    <n v="480000"/>
    <n v="0.12300000000000001"/>
    <n v="51660"/>
    <n v="15601.32"/>
    <n v="531660"/>
    <n v="46875.597269624574"/>
    <n v="14156.43037542662"/>
    <n v="440000"/>
    <n v="132880"/>
    <n v="35103"/>
    <n v="538535.59726962459"/>
    <n v="162637.75037542661"/>
    <n v="701173.3476450512"/>
  </r>
  <r>
    <x v="22"/>
    <s v="Emp_468"/>
    <s v="Head of Division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2"/>
    <s v="Emp_469"/>
    <s v="Department Manager"/>
    <x v="3"/>
    <n v="1"/>
    <n v="184100"/>
    <n v="145000"/>
    <m/>
    <n v="27500"/>
    <n v="11600"/>
    <n v="2209200"/>
    <n v="0.12300000000000001"/>
    <n v="214020"/>
    <n v="64634.04"/>
    <n v="2423220"/>
    <n v="213651.36518771332"/>
    <n v="64522.712286689421"/>
    <n v="2025100"/>
    <n v="611580.19999999995"/>
    <n v="52684"/>
    <n v="2452771.3651877134"/>
    <n v="740736.95228668931"/>
    <n v="3193508.3174744025"/>
  </r>
  <r>
    <x v="22"/>
    <s v="Emp_470"/>
    <s v="Senior Engineer"/>
    <x v="4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22"/>
    <s v="Emp_471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72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73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74"/>
    <s v="Senior Specialist"/>
    <x v="2"/>
    <n v="1"/>
    <n v="74000"/>
    <n v="60000"/>
    <m/>
    <n v="9200"/>
    <n v="4800"/>
    <n v="888000"/>
    <n v="0.12300000000000001"/>
    <n v="88560.000000000015"/>
    <n v="26745.120000000003"/>
    <n v="976560"/>
    <n v="86101.706484641632"/>
    <n v="26002.715358361773"/>
    <n v="814000"/>
    <n v="245828"/>
    <n v="35103"/>
    <n v="988661.70648464165"/>
    <n v="298575.83535836177"/>
    <n v="1287237.5418430034"/>
  </r>
  <r>
    <x v="22"/>
    <s v="Emp_475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76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77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78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79"/>
    <s v="Clock Mechanic"/>
    <x v="5"/>
    <n v="1"/>
    <n v="69800"/>
    <n v="50000"/>
    <m/>
    <n v="15800"/>
    <n v="4000"/>
    <n v="837600"/>
    <n v="0.12300000000000001"/>
    <n v="73800.000000000015"/>
    <n v="22287.600000000002"/>
    <n v="911400"/>
    <n v="80356.655290102382"/>
    <n v="24267.709897610919"/>
    <n v="767800"/>
    <n v="231875.6"/>
    <n v="35103"/>
    <n v="921956.65529010235"/>
    <n v="278430.90989761089"/>
    <n v="1200387.5651877131"/>
  </r>
  <r>
    <x v="22"/>
    <s v="Emp_480"/>
    <s v="Department Manager"/>
    <x v="3"/>
    <n v="1"/>
    <n v="184100"/>
    <n v="145000"/>
    <m/>
    <n v="27500"/>
    <n v="11600"/>
    <n v="2209200"/>
    <n v="0.12300000000000001"/>
    <n v="214020"/>
    <n v="64634.04"/>
    <n v="2423220"/>
    <n v="213651.36518771332"/>
    <n v="64522.712286689421"/>
    <n v="2025100"/>
    <n v="611580.19999999995"/>
    <n v="52684"/>
    <n v="2452771.3651877134"/>
    <n v="740736.95228668931"/>
    <n v="3193508.3174744025"/>
  </r>
  <r>
    <x v="22"/>
    <s v="Emp_481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82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83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84"/>
    <s v="Senior Specialist"/>
    <x v="2"/>
    <n v="1"/>
    <n v="89000"/>
    <n v="60000"/>
    <m/>
    <n v="24200"/>
    <n v="4800"/>
    <n v="1068000"/>
    <n v="0.12300000000000001"/>
    <n v="88560.000000000015"/>
    <n v="26745.120000000003"/>
    <n v="1156560"/>
    <n v="101972.01365187713"/>
    <n v="30795.548122866894"/>
    <n v="979000"/>
    <n v="295658"/>
    <n v="35103"/>
    <n v="1169532.0136518772"/>
    <n v="353198.66812286689"/>
    <n v="1522730.6817747441"/>
  </r>
  <r>
    <x v="22"/>
    <s v="Emp_485"/>
    <s v="Senior Specialist"/>
    <x v="2"/>
    <n v="1"/>
    <n v="102800"/>
    <n v="80000"/>
    <m/>
    <n v="16400"/>
    <n v="6400"/>
    <n v="1233600"/>
    <n v="0.12300000000000001"/>
    <n v="118080.00000000003"/>
    <n v="35660.160000000011"/>
    <n v="1351680"/>
    <n v="119175.42662116041"/>
    <n v="35990.97883959044"/>
    <n v="1130800"/>
    <n v="341501.6"/>
    <n v="35103"/>
    <n v="1368055.4266211605"/>
    <n v="413152.73883959046"/>
    <n v="1781208.1654607509"/>
  </r>
  <r>
    <x v="22"/>
    <s v="Emp_486"/>
    <s v="Senior Specialist"/>
    <x v="2"/>
    <n v="1"/>
    <n v="94800"/>
    <n v="60000"/>
    <m/>
    <n v="30000"/>
    <n v="4800"/>
    <n v="1137600"/>
    <n v="0.12300000000000001"/>
    <n v="88560.000000000015"/>
    <n v="26745.120000000003"/>
    <n v="1226160"/>
    <n v="108108.53242320818"/>
    <n v="32648.776791808868"/>
    <n v="1042800"/>
    <n v="314925.59999999998"/>
    <n v="35103"/>
    <n v="1239468.5324232082"/>
    <n v="374319.49679180887"/>
    <n v="1613788.0292150171"/>
  </r>
  <r>
    <x v="22"/>
    <s v="Emp_487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88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89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90"/>
    <s v="Senior Specialist"/>
    <x v="2"/>
    <n v="1"/>
    <n v="73000"/>
    <n v="60000"/>
    <m/>
    <n v="8200"/>
    <n v="4800"/>
    <n v="876000"/>
    <n v="0.12300000000000001"/>
    <n v="88560.000000000015"/>
    <n v="26745.120000000003"/>
    <n v="964560"/>
    <n v="85043.686006825927"/>
    <n v="25683.193174061427"/>
    <n v="803000"/>
    <n v="242506"/>
    <n v="35103"/>
    <n v="976603.68600682588"/>
    <n v="294934.31317406142"/>
    <n v="1271537.9991808874"/>
  </r>
  <r>
    <x v="22"/>
    <s v="Emp_491"/>
    <s v="Senior Engineer"/>
    <x v="4"/>
    <n v="1"/>
    <n v="121400"/>
    <n v="80000"/>
    <m/>
    <n v="35000"/>
    <n v="6400"/>
    <n v="1456800"/>
    <n v="0.12300000000000001"/>
    <n v="118080.00000000003"/>
    <n v="35660.160000000011"/>
    <n v="1574880"/>
    <n v="138854.60750853244"/>
    <n v="41934.091467576793"/>
    <n v="1335400"/>
    <n v="403290.8"/>
    <n v="35103"/>
    <n v="1592334.6075085325"/>
    <n v="480885.05146757676"/>
    <n v="2073219.6589761092"/>
  </r>
  <r>
    <x v="22"/>
    <s v="Emp_492"/>
    <s v="Senior Engineer"/>
    <x v="4"/>
    <n v="1"/>
    <n v="121400"/>
    <n v="80000"/>
    <m/>
    <n v="35000"/>
    <n v="6400"/>
    <n v="1456800"/>
    <n v="0.12300000000000001"/>
    <n v="118080.00000000003"/>
    <n v="35660.160000000011"/>
    <n v="1574880"/>
    <n v="138854.60750853244"/>
    <n v="41934.091467576793"/>
    <n v="1335400"/>
    <n v="403290.8"/>
    <n v="35103"/>
    <n v="1592334.6075085325"/>
    <n v="480885.05146757676"/>
    <n v="2073219.6589761092"/>
  </r>
  <r>
    <x v="22"/>
    <s v="Emp_493"/>
    <s v="Senior Engineer"/>
    <x v="4"/>
    <n v="1"/>
    <n v="121400"/>
    <n v="80000"/>
    <m/>
    <n v="35000"/>
    <n v="6400"/>
    <n v="1456800"/>
    <n v="0.12300000000000001"/>
    <n v="118080.00000000003"/>
    <n v="35660.160000000011"/>
    <n v="1574880"/>
    <n v="138854.60750853244"/>
    <n v="41934.091467576793"/>
    <n v="1335400"/>
    <n v="403290.8"/>
    <n v="35103"/>
    <n v="1592334.6075085325"/>
    <n v="480885.05146757676"/>
    <n v="2073219.6589761092"/>
  </r>
  <r>
    <x v="22"/>
    <s v="Emp_494"/>
    <s v="Engineer"/>
    <x v="4"/>
    <n v="1"/>
    <n v="101400"/>
    <n v="80000"/>
    <m/>
    <n v="15000"/>
    <n v="6400"/>
    <n v="1216800"/>
    <n v="0.12300000000000001"/>
    <n v="118080.00000000003"/>
    <n v="35660.160000000011"/>
    <n v="1334880"/>
    <n v="117694.19795221843"/>
    <n v="35543.647781569962"/>
    <n v="1115400"/>
    <n v="336850.8"/>
    <n v="35103"/>
    <n v="1351174.1979522184"/>
    <n v="408054.60778156994"/>
    <n v="1759228.8057337883"/>
  </r>
  <r>
    <x v="22"/>
    <s v="Emp_495"/>
    <s v="Engineer"/>
    <x v="4"/>
    <n v="1"/>
    <n v="101400"/>
    <n v="80000"/>
    <m/>
    <n v="15000"/>
    <n v="6400"/>
    <n v="1216800"/>
    <n v="0.12300000000000001"/>
    <n v="118080.00000000003"/>
    <n v="35660.160000000011"/>
    <n v="1334880"/>
    <n v="117694.19795221843"/>
    <n v="35543.647781569962"/>
    <n v="1115400"/>
    <n v="336850.8"/>
    <n v="35103"/>
    <n v="1351174.1979522184"/>
    <n v="408054.60778156994"/>
    <n v="1759228.8057337883"/>
  </r>
  <r>
    <x v="22"/>
    <s v="Emp_496"/>
    <s v="Engineer"/>
    <x v="4"/>
    <n v="1"/>
    <n v="101400"/>
    <n v="80000"/>
    <m/>
    <n v="15000"/>
    <n v="6400"/>
    <n v="1216800"/>
    <n v="0.12300000000000001"/>
    <n v="118080.00000000003"/>
    <n v="35660.160000000011"/>
    <n v="1334880"/>
    <n v="117694.19795221843"/>
    <n v="35543.647781569962"/>
    <n v="1115400"/>
    <n v="336850.8"/>
    <n v="35103"/>
    <n v="1351174.1979522184"/>
    <n v="408054.60778156994"/>
    <n v="1759228.8057337883"/>
  </r>
  <r>
    <x v="22"/>
    <s v="Emp_497"/>
    <s v="Engineer"/>
    <x v="4"/>
    <n v="1"/>
    <n v="101400"/>
    <n v="80000"/>
    <m/>
    <n v="15000"/>
    <n v="6400"/>
    <n v="1216800"/>
    <n v="0.12300000000000001"/>
    <n v="364800"/>
    <n v="110169.59999999999"/>
    <n v="1581600"/>
    <n v="139447.09897610921"/>
    <n v="42113.023890784978"/>
    <n v="1115400"/>
    <n v="336850.8"/>
    <n v="35103"/>
    <n v="1619647.0989761092"/>
    <n v="489133.42389078496"/>
    <n v="2108780.522866894"/>
  </r>
  <r>
    <x v="23"/>
    <s v="Emp_498"/>
    <s v="Department Director"/>
    <x v="3"/>
    <n v="1"/>
    <n v="396000"/>
    <n v="200000"/>
    <n v="20000"/>
    <n v="16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23"/>
    <s v="Emp_499"/>
    <s v="Head of Division"/>
    <x v="3"/>
    <n v="1"/>
    <n v="266000"/>
    <n v="145000"/>
    <m/>
    <n v="109400"/>
    <n v="11600"/>
    <n v="3192000"/>
    <n v="0.12300000000000001"/>
    <n v="214020"/>
    <n v="64634.04"/>
    <n v="3406020"/>
    <n v="300303.24232081912"/>
    <n v="90691.579180887376"/>
    <n v="2926000"/>
    <n v="883652"/>
    <n v="52684"/>
    <n v="3440323.2423208193"/>
    <n v="1038977.6191808874"/>
    <n v="4479300.8615017068"/>
  </r>
  <r>
    <x v="23"/>
    <s v="Emp_500"/>
    <s v="Deputy Head of Division"/>
    <x v="3"/>
    <n v="1"/>
    <n v="271600"/>
    <n v="145000"/>
    <m/>
    <n v="115000"/>
    <n v="11600"/>
    <n v="3259200"/>
    <n v="0.12300000000000001"/>
    <n v="214020"/>
    <n v="64634.04"/>
    <n v="3473220"/>
    <n v="306228.15699658706"/>
    <n v="92480.903412969288"/>
    <n v="2987600"/>
    <n v="900956.6"/>
    <n v="52684"/>
    <n v="3507848.1569965873"/>
    <n v="1058071.5434129692"/>
    <n v="4565919.7004095567"/>
  </r>
  <r>
    <x v="23"/>
    <s v="Emp_501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3"/>
    <s v="Emp_502"/>
    <s v="Senior Specialist"/>
    <x v="2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23"/>
    <s v="Emp_503"/>
    <s v="Senior Specialist"/>
    <x v="2"/>
    <n v="1"/>
    <n v="173000"/>
    <n v="100000"/>
    <m/>
    <n v="65000"/>
    <n v="8000"/>
    <n v="2076000"/>
    <n v="0.12300000000000001"/>
    <n v="147600.00000000003"/>
    <n v="44575.200000000004"/>
    <n v="2223600"/>
    <n v="196051.19453924915"/>
    <n v="59207.460750853243"/>
    <n v="1903000"/>
    <n v="574706"/>
    <n v="35103"/>
    <n v="2246651.1945392489"/>
    <n v="678488.66075085325"/>
    <n v="2925139.8552901023"/>
  </r>
  <r>
    <x v="23"/>
    <s v="Emp_504"/>
    <s v="Senior Specialist"/>
    <x v="2"/>
    <n v="1"/>
    <n v="140500"/>
    <n v="100000"/>
    <m/>
    <n v="32500"/>
    <n v="8000"/>
    <n v="1686000"/>
    <n v="0.12300000000000001"/>
    <n v="147600.00000000003"/>
    <n v="44575.200000000004"/>
    <n v="1833600"/>
    <n v="161665.52901023891"/>
    <n v="48822.989761092147"/>
    <n v="1545500"/>
    <n v="466741"/>
    <n v="35103"/>
    <n v="1854765.5290102391"/>
    <n v="560139.18976109219"/>
    <n v="2414904.718771331"/>
  </r>
  <r>
    <x v="23"/>
    <s v="Emp_505"/>
    <s v="Department Manager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23"/>
    <s v="Emp_506"/>
    <s v="Lead Specialist"/>
    <x v="2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23"/>
    <s v="Emp_507"/>
    <s v="Senior Specialist"/>
    <x v="2"/>
    <n v="1"/>
    <n v="104800"/>
    <n v="60000"/>
    <m/>
    <n v="40000"/>
    <n v="4800"/>
    <n v="1257600"/>
    <n v="0.12300000000000001"/>
    <n v="88560.000000000015"/>
    <n v="26745.120000000003"/>
    <n v="1346160"/>
    <n v="118688.73720136518"/>
    <n v="35843.998634812284"/>
    <n v="1152800"/>
    <n v="348145.6"/>
    <n v="35103"/>
    <n v="1360048.7372013652"/>
    <n v="410734.71863481228"/>
    <n v="1770783.4558361773"/>
  </r>
  <r>
    <x v="23"/>
    <s v="Emp_508"/>
    <s v="Lead Specialist"/>
    <x v="2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23"/>
    <s v="Emp_509"/>
    <s v="Senior Specialist"/>
    <x v="2"/>
    <n v="1"/>
    <n v="81000"/>
    <n v="50000"/>
    <m/>
    <n v="27000"/>
    <n v="4000"/>
    <n v="972000"/>
    <n v="0.12300000000000001"/>
    <n v="228000"/>
    <n v="68856"/>
    <n v="1200000"/>
    <n v="105802.04778156996"/>
    <n v="31952.218430034125"/>
    <n v="891000"/>
    <n v="269082"/>
    <n v="35103"/>
    <n v="1224802.0477815699"/>
    <n v="369890.21843003412"/>
    <n v="1594692.266211604"/>
  </r>
  <r>
    <x v="24"/>
    <s v="Emp_510"/>
    <s v="Head of Division"/>
    <x v="3"/>
    <n v="1"/>
    <n v="376000"/>
    <n v="200000"/>
    <m/>
    <n v="160000"/>
    <n v="16000"/>
    <n v="4512000"/>
    <n v="0.38"/>
    <n v="295200.00000000006"/>
    <n v="89150.400000000009"/>
    <n v="4807200"/>
    <n v="423843.00341296924"/>
    <n v="128000.58703071671"/>
    <n v="4136000"/>
    <n v="1074365"/>
    <n v="69507"/>
    <n v="4855043.0034129694"/>
    <n v="1291515.9870307166"/>
    <n v="6146558.990443686"/>
  </r>
  <r>
    <x v="24"/>
    <s v="Emp_511"/>
    <s v="Department Manager"/>
    <x v="3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24"/>
    <s v="Emp_512"/>
    <s v="Team Lead"/>
    <x v="3"/>
    <n v="1"/>
    <n v="124400"/>
    <n v="100000"/>
    <m/>
    <n v="16400"/>
    <n v="8000"/>
    <n v="1492800"/>
    <n v="0.12300000000000001"/>
    <n v="147600.00000000003"/>
    <n v="44575.200000000004"/>
    <n v="1640400"/>
    <n v="144631.39931740615"/>
    <n v="43678.682593856654"/>
    <n v="1368400"/>
    <n v="413256.8"/>
    <n v="35103"/>
    <n v="1660631.3993174061"/>
    <n v="501510.68259385665"/>
    <n v="2162142.0819112626"/>
  </r>
  <r>
    <x v="24"/>
    <s v="Emp_513"/>
    <s v="Senior Specialist"/>
    <x v="2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24"/>
    <s v="Emp_514"/>
    <s v="Senior Specialist"/>
    <x v="2"/>
    <n v="1"/>
    <n v="81000"/>
    <n v="60000"/>
    <m/>
    <n v="16200"/>
    <n v="4800"/>
    <n v="972000"/>
    <n v="0.12300000000000001"/>
    <n v="88560.000000000015"/>
    <n v="26745.120000000003"/>
    <n v="1060560"/>
    <n v="93507.849829351544"/>
    <n v="28239.370648464166"/>
    <n v="891000"/>
    <n v="269082"/>
    <n v="35103"/>
    <n v="1073067.8498293515"/>
    <n v="324066.49064846418"/>
    <n v="1397134.3404778158"/>
  </r>
  <r>
    <x v="24"/>
    <s v="Emp_515"/>
    <s v="Deputy Department Manager "/>
    <x v="3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24"/>
    <s v="Emp_516"/>
    <s v="Lead Specialist"/>
    <x v="2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24"/>
    <s v="Emp_517"/>
    <s v="Lead Specialist"/>
    <x v="2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24"/>
    <s v="Emp_518"/>
    <s v="Senior Specialist"/>
    <x v="2"/>
    <n v="1"/>
    <n v="96800"/>
    <n v="80000"/>
    <m/>
    <n v="10400"/>
    <n v="6400"/>
    <n v="1161600"/>
    <n v="0.12300000000000001"/>
    <n v="118080.00000000003"/>
    <n v="35660.160000000011"/>
    <n v="1279680"/>
    <n v="112827.30375426622"/>
    <n v="34073.845733788396"/>
    <n v="1064800"/>
    <n v="321569.59999999998"/>
    <n v="35103"/>
    <n v="1295707.3037542664"/>
    <n v="391303.6057337884"/>
    <n v="1687010.9094880547"/>
  </r>
  <r>
    <x v="24"/>
    <s v="Emp_519"/>
    <s v="Senior Specialist"/>
    <x v="2"/>
    <n v="1"/>
    <n v="118400"/>
    <n v="80000"/>
    <m/>
    <n v="32000"/>
    <n v="6400"/>
    <n v="1420800"/>
    <n v="0.12300000000000001"/>
    <n v="118080.00000000003"/>
    <n v="35660.160000000011"/>
    <n v="1538880"/>
    <n v="135680.54607508532"/>
    <n v="40975.524914675763"/>
    <n v="1302400"/>
    <n v="393324.79999999999"/>
    <n v="35103"/>
    <n v="1556160.5460750854"/>
    <n v="469960.48491467576"/>
    <n v="2026121.0309897612"/>
  </r>
  <r>
    <x v="24"/>
    <s v="Emp_520"/>
    <s v="Senior Specialist"/>
    <x v="2"/>
    <n v="1"/>
    <n v="118400"/>
    <n v="80000"/>
    <m/>
    <n v="32000"/>
    <n v="6400"/>
    <n v="1420800"/>
    <n v="0.12300000000000001"/>
    <n v="118080.00000000003"/>
    <n v="35660.160000000011"/>
    <n v="1538880"/>
    <n v="135680.54607508532"/>
    <n v="40975.524914675763"/>
    <n v="1302400"/>
    <n v="393324.79999999999"/>
    <n v="35103"/>
    <n v="1556160.5460750854"/>
    <n v="469960.48491467576"/>
    <n v="2026121.0309897612"/>
  </r>
  <r>
    <x v="24"/>
    <s v="Emp_521"/>
    <s v="Senior Specialist"/>
    <x v="2"/>
    <n v="1"/>
    <n v="76000"/>
    <n v="60000"/>
    <m/>
    <n v="11200"/>
    <n v="4800"/>
    <n v="912000"/>
    <n v="0.12300000000000001"/>
    <n v="88560.000000000015"/>
    <n v="26745.120000000003"/>
    <n v="1000560"/>
    <n v="88217.747440273029"/>
    <n v="26641.759726962453"/>
    <n v="836000"/>
    <n v="252472"/>
    <n v="35103"/>
    <n v="1012777.7474402731"/>
    <n v="305858.87972696248"/>
    <n v="1318636.6271672356"/>
  </r>
  <r>
    <x v="24"/>
    <s v="Emp_522"/>
    <s v="Senior Specialist"/>
    <x v="2"/>
    <n v="1"/>
    <n v="54100"/>
    <n v="30000"/>
    <m/>
    <n v="21700"/>
    <n v="2400"/>
    <n v="649200"/>
    <n v="0.12300000000000001"/>
    <n v="44280.000000000007"/>
    <n v="13372.560000000001"/>
    <n v="693480"/>
    <n v="61143.003412969279"/>
    <n v="18465.187030716723"/>
    <n v="595100"/>
    <n v="179720.19999999998"/>
    <n v="35103"/>
    <n v="700523.00341296929"/>
    <n v="211557.94703071669"/>
    <n v="912080.95044368599"/>
  </r>
  <r>
    <x v="24"/>
    <s v="Emp_523"/>
    <s v="Specialist"/>
    <x v="2"/>
    <n v="1"/>
    <n v="52800"/>
    <n v="30000"/>
    <m/>
    <n v="20400"/>
    <n v="2400"/>
    <n v="633600"/>
    <n v="0.12300000000000001"/>
    <n v="44280.000000000007"/>
    <n v="13372.560000000001"/>
    <n v="677880"/>
    <n v="59767.576791808875"/>
    <n v="18049.808191126278"/>
    <n v="580800"/>
    <n v="175401.60000000001"/>
    <n v="35103"/>
    <n v="684847.57679180894"/>
    <n v="206823.96819112627"/>
    <n v="891671.54498293519"/>
  </r>
  <r>
    <x v="24"/>
    <s v="Emp_524"/>
    <s v="Team Lead"/>
    <x v="3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24"/>
    <s v="Emp_525"/>
    <s v="Lead Specialist"/>
    <x v="2"/>
    <n v="1"/>
    <n v="108400"/>
    <n v="80000"/>
    <m/>
    <n v="22000"/>
    <n v="6400"/>
    <n v="1300800"/>
    <n v="0.12300000000000001"/>
    <n v="118080.00000000003"/>
    <n v="35660.160000000011"/>
    <n v="1418880"/>
    <n v="125100.34129692832"/>
    <n v="37780.303071672352"/>
    <n v="1192400"/>
    <n v="360104.8"/>
    <n v="35103"/>
    <n v="1435580.3412969285"/>
    <n v="433545.26307167235"/>
    <n v="1869125.6043686008"/>
  </r>
  <r>
    <x v="24"/>
    <s v="Emp_526"/>
    <s v="Senior Specialist"/>
    <x v="2"/>
    <n v="1"/>
    <n v="84800"/>
    <n v="60000"/>
    <m/>
    <n v="20000"/>
    <n v="4800"/>
    <n v="1017600"/>
    <n v="0.12300000000000001"/>
    <n v="88560.000000000015"/>
    <n v="26745.120000000003"/>
    <n v="1106160"/>
    <n v="97528.327645051191"/>
    <n v="29453.55494880546"/>
    <n v="932800"/>
    <n v="281705.59999999998"/>
    <n v="35103"/>
    <n v="1118888.3276450513"/>
    <n v="337904.27494880545"/>
    <n v="1456792.6025938569"/>
  </r>
  <r>
    <x v="24"/>
    <s v="Emp_527"/>
    <s v="Department Manager"/>
    <x v="3"/>
    <n v="1"/>
    <n v="211600"/>
    <n v="145000"/>
    <m/>
    <n v="55000"/>
    <n v="11600"/>
    <n v="2539200"/>
    <n v="0.12300000000000001"/>
    <n v="214020"/>
    <n v="64634.04"/>
    <n v="2753220"/>
    <n v="242746.92832764506"/>
    <n v="73309.572354948803"/>
    <n v="2327600"/>
    <n v="702935.2"/>
    <n v="52684"/>
    <n v="2784366.9283276452"/>
    <n v="840878.81235494872"/>
    <n v="3625245.740682594"/>
  </r>
  <r>
    <x v="24"/>
    <s v="Emp_528"/>
    <s v="Advisor"/>
    <x v="2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24"/>
    <s v="Emp_529"/>
    <s v="Lead Specialist"/>
    <x v="2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24"/>
    <s v="Emp_530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4"/>
    <s v="Emp_531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4"/>
    <s v="Emp_532"/>
    <s v="Lead Specialist"/>
    <x v="2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24"/>
    <s v="Emp_533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24"/>
    <s v="Emp_534"/>
    <s v="Senior Specialist"/>
    <x v="2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24"/>
    <s v="Emp_535"/>
    <s v="Senior Specialist"/>
    <x v="2"/>
    <n v="1"/>
    <n v="105800"/>
    <n v="60000"/>
    <m/>
    <n v="41000"/>
    <n v="4800"/>
    <n v="1269600"/>
    <n v="0.12300000000000001"/>
    <n v="88560.000000000015"/>
    <n v="26745.120000000003"/>
    <n v="1358160"/>
    <n v="119746.75767918088"/>
    <n v="36163.520819112622"/>
    <n v="1163800"/>
    <n v="351467.6"/>
    <n v="35103"/>
    <n v="1372106.7576791809"/>
    <n v="414376.24081911263"/>
    <n v="1786482.9984982936"/>
  </r>
  <r>
    <x v="24"/>
    <s v="Emp_536"/>
    <s v="Senior Specialist"/>
    <x v="2"/>
    <n v="1"/>
    <n v="84800"/>
    <n v="60000"/>
    <m/>
    <n v="20000"/>
    <n v="4800"/>
    <n v="1017600"/>
    <n v="0.12300000000000001"/>
    <n v="88560.000000000015"/>
    <n v="26745.120000000003"/>
    <n v="1106160"/>
    <n v="97528.327645051191"/>
    <n v="29453.55494880546"/>
    <n v="932800"/>
    <n v="281705.59999999998"/>
    <n v="35103"/>
    <n v="1118888.3276450513"/>
    <n v="337904.27494880545"/>
    <n v="1456792.6025938569"/>
  </r>
  <r>
    <x v="24"/>
    <s v="Emp_537"/>
    <s v="Senior Specialist"/>
    <x v="2"/>
    <n v="1"/>
    <n v="84000"/>
    <n v="60000"/>
    <m/>
    <n v="19200"/>
    <n v="4800"/>
    <n v="1008000"/>
    <n v="0.12300000000000001"/>
    <n v="88560.000000000015"/>
    <n v="26745.120000000003"/>
    <n v="1096560"/>
    <n v="96681.911262798632"/>
    <n v="29197.937201365185"/>
    <n v="924000"/>
    <n v="279048"/>
    <n v="35103"/>
    <n v="1109241.9112627986"/>
    <n v="334991.05720136518"/>
    <n v="1444232.9684641638"/>
  </r>
  <r>
    <x v="24"/>
    <s v="Emp_538"/>
    <s v="Senior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24"/>
    <s v="Emp_539"/>
    <s v="Senior Specialist"/>
    <x v="2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5"/>
    <s v="Emp_540"/>
    <s v="Deputy CEO for HR and Project Management"/>
    <x v="0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25"/>
    <s v="Emp_541"/>
    <s v="Lead Security Compliance Specialist"/>
    <x v="2"/>
    <n v="1"/>
    <n v="138000"/>
    <n v="100000"/>
    <m/>
    <n v="30000"/>
    <n v="8000"/>
    <n v="1656000"/>
    <n v="0.12300000000000001"/>
    <n v="147600.00000000003"/>
    <n v="44575.200000000004"/>
    <n v="1803600"/>
    <n v="159020.47781569965"/>
    <n v="48024.184300341294"/>
    <n v="1518000"/>
    <n v="458436"/>
    <n v="35103"/>
    <n v="1824620.4778156998"/>
    <n v="551035.38430034136"/>
    <n v="2375655.8621160411"/>
  </r>
  <r>
    <x v="25"/>
    <s v="Emp_542"/>
    <s v="Senior Specialist"/>
    <x v="2"/>
    <n v="1"/>
    <n v="118400"/>
    <n v="80000"/>
    <m/>
    <n v="32000"/>
    <n v="6400"/>
    <n v="1420800"/>
    <n v="0.12300000000000001"/>
    <n v="118080.00000000003"/>
    <n v="35660.160000000011"/>
    <n v="1538880"/>
    <n v="135680.54607508532"/>
    <n v="40975.524914675763"/>
    <n v="1302400"/>
    <n v="393324.79999999999"/>
    <n v="35103"/>
    <n v="1556160.5460750854"/>
    <n v="469960.48491467576"/>
    <n v="2026121.0309897612"/>
  </r>
  <r>
    <x v="26"/>
    <s v="Emp_543"/>
    <s v="Deputy Team Lead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26"/>
    <s v="Emp_544"/>
    <s v="Senior Specialist"/>
    <x v="2"/>
    <n v="1"/>
    <n v="90800"/>
    <n v="80000"/>
    <m/>
    <n v="4400"/>
    <n v="6400"/>
    <n v="1089600"/>
    <n v="0.12300000000000001"/>
    <n v="118080.00000000003"/>
    <n v="35660.160000000011"/>
    <n v="1207680"/>
    <n v="106479.180887372"/>
    <n v="32156.712627986344"/>
    <n v="998800"/>
    <n v="301637.59999999998"/>
    <n v="35103"/>
    <n v="1223359.180887372"/>
    <n v="369454.47262798634"/>
    <n v="1592813.6535153585"/>
  </r>
  <r>
    <x v="26"/>
    <s v="Emp_545"/>
    <s v="Senior Specialist"/>
    <x v="2"/>
    <n v="1"/>
    <n v="120000"/>
    <n v="100000"/>
    <m/>
    <n v="12000"/>
    <n v="8000"/>
    <n v="1440000"/>
    <n v="0.12300000000000001"/>
    <n v="147600.00000000003"/>
    <n v="44575.200000000004"/>
    <n v="1587600"/>
    <n v="139976.10921501706"/>
    <n v="42272.784982935147"/>
    <n v="1320000"/>
    <n v="398640"/>
    <n v="35103"/>
    <n v="1607576.1092150169"/>
    <n v="485487.98498293513"/>
    <n v="2093064.0941979522"/>
  </r>
  <r>
    <x v="26"/>
    <s v="Emp_546"/>
    <s v="Senior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7"/>
    <s v="Emp_547"/>
    <s v="Department Manager"/>
    <x v="3"/>
    <n v="1"/>
    <n v="271600"/>
    <n v="145000"/>
    <m/>
    <n v="115000"/>
    <n v="11600"/>
    <n v="3259200"/>
    <n v="0.12300000000000001"/>
    <n v="214020"/>
    <n v="64634.04"/>
    <n v="3473220"/>
    <n v="306228.15699658706"/>
    <n v="92480.903412969288"/>
    <n v="2987600"/>
    <n v="900956.6"/>
    <n v="52684"/>
    <n v="3507848.1569965873"/>
    <n v="1058071.5434129692"/>
    <n v="4565919.7004095567"/>
  </r>
  <r>
    <x v="27"/>
    <s v="Emp_548"/>
    <s v="Deputy Department Manager"/>
    <x v="3"/>
    <n v="1"/>
    <n v="146400"/>
    <n v="100000"/>
    <m/>
    <n v="38400"/>
    <n v="8000"/>
    <n v="1756800"/>
    <n v="0.12300000000000001"/>
    <n v="147600.00000000003"/>
    <n v="44575.200000000004"/>
    <n v="1904400"/>
    <n v="167907.84982935153"/>
    <n v="50708.170648464162"/>
    <n v="1610400"/>
    <n v="486340.8"/>
    <n v="35103"/>
    <n v="1925907.8498293515"/>
    <n v="581624.17064846412"/>
    <n v="2507532.0204778155"/>
  </r>
  <r>
    <x v="27"/>
    <s v="Emp_549"/>
    <s v="Advisor"/>
    <x v="2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27"/>
    <s v="Emp_550"/>
    <s v="Lead Specialist"/>
    <x v="2"/>
    <n v="1"/>
    <n v="128000"/>
    <n v="100000"/>
    <m/>
    <n v="20000"/>
    <n v="8000"/>
    <n v="1536000"/>
    <n v="0.12300000000000001"/>
    <n v="147600.00000000003"/>
    <n v="44575.200000000004"/>
    <n v="1683600"/>
    <n v="148440.27303754268"/>
    <n v="44828.96245733789"/>
    <n v="1408000"/>
    <n v="425216"/>
    <n v="35103"/>
    <n v="1704040.2730375426"/>
    <n v="514620.16245733789"/>
    <n v="2218660.4354948807"/>
  </r>
  <r>
    <x v="27"/>
    <s v="Emp_551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27"/>
    <s v="Emp_552"/>
    <s v="Driver"/>
    <x v="6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7"/>
    <s v="Emp_553"/>
    <s v="Driver"/>
    <x v="6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7"/>
    <s v="Emp_554"/>
    <s v="Driver"/>
    <x v="6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7"/>
    <s v="Emp_555"/>
    <s v="Driver"/>
    <x v="6"/>
    <n v="1"/>
    <n v="99800"/>
    <n v="60000"/>
    <m/>
    <n v="35000"/>
    <n v="4800"/>
    <n v="1197600"/>
    <n v="0.12300000000000001"/>
    <n v="88560.000000000015"/>
    <n v="26745.120000000003"/>
    <n v="1286160"/>
    <n v="113398.63481228668"/>
    <n v="34246.387713310578"/>
    <n v="1097800"/>
    <n v="331535.59999999998"/>
    <n v="35103"/>
    <n v="1299758.6348122866"/>
    <n v="392527.10771331057"/>
    <n v="1692285.7425255971"/>
  </r>
  <r>
    <x v="27"/>
    <s v="Emp_556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57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58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59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0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1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2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3"/>
    <s v="General Laborer"/>
    <x v="6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4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5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6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7"/>
    <s v="Groundskeeper"/>
    <x v="7"/>
    <n v="1"/>
    <n v="79000"/>
    <n v="60000"/>
    <m/>
    <n v="14200"/>
    <n v="4800"/>
    <n v="948000"/>
    <n v="0.12300000000000001"/>
    <n v="88560.000000000015"/>
    <n v="26745.120000000003"/>
    <n v="1036560"/>
    <n v="91391.808873720147"/>
    <n v="27600.326279863482"/>
    <n v="869000"/>
    <n v="262438"/>
    <n v="35103"/>
    <n v="1048951.8088737202"/>
    <n v="316783.44627986348"/>
    <n v="1365735.2551535838"/>
  </r>
  <r>
    <x v="27"/>
    <s v="Emp_568"/>
    <s v="Specialist"/>
    <x v="2"/>
    <n v="1"/>
    <n v="146400"/>
    <n v="80000"/>
    <m/>
    <n v="60000"/>
    <n v="6400"/>
    <n v="1756800"/>
    <n v="0.12300000000000001"/>
    <n v="118080.00000000003"/>
    <n v="35660.160000000011"/>
    <n v="1874880"/>
    <n v="165305.11945392491"/>
    <n v="49922.146075085322"/>
    <n v="1610400"/>
    <n v="486340.8"/>
    <n v="35103"/>
    <n v="1893785.1194539249"/>
    <n v="571923.10607508535"/>
    <n v="2465708.2255290104"/>
  </r>
  <r>
    <x v="27"/>
    <s v="Emp_569"/>
    <s v="Cleaning Machine Operator"/>
    <x v="6"/>
    <n v="1"/>
    <n v="90800"/>
    <n v="60000"/>
    <m/>
    <n v="26000"/>
    <n v="4800"/>
    <n v="1089600"/>
    <n v="0.12300000000000001"/>
    <n v="88560.000000000015"/>
    <n v="26745.120000000003"/>
    <n v="1178160"/>
    <n v="103876.45051194538"/>
    <n v="31370.688054607504"/>
    <n v="998800"/>
    <n v="301637.59999999998"/>
    <n v="35103"/>
    <n v="1191236.4505119454"/>
    <n v="359753.40805460745"/>
    <n v="1550989.8585665529"/>
  </r>
  <r>
    <x v="27"/>
    <s v="Emp_570"/>
    <s v="Cleaning Machine Operator"/>
    <x v="6"/>
    <n v="1"/>
    <n v="90800"/>
    <n v="60000"/>
    <m/>
    <n v="26000"/>
    <n v="4800"/>
    <n v="1089600"/>
    <n v="0.12300000000000001"/>
    <n v="88560.000000000015"/>
    <n v="26745.120000000003"/>
    <n v="1178160"/>
    <n v="103876.45051194538"/>
    <n v="31370.688054607504"/>
    <n v="998800"/>
    <n v="301637.59999999998"/>
    <n v="35103"/>
    <n v="1191236.4505119454"/>
    <n v="359753.40805460745"/>
    <n v="1550989.8585665529"/>
  </r>
  <r>
    <x v="28"/>
    <s v="Emp_571"/>
    <s v="Department Manager"/>
    <x v="3"/>
    <n v="1"/>
    <n v="276100"/>
    <n v="145000"/>
    <n v="14500"/>
    <n v="105000"/>
    <n v="11600"/>
    <n v="3313200"/>
    <n v="0.12300000000000001"/>
    <n v="214020"/>
    <n v="64634.04"/>
    <n v="3527220"/>
    <n v="310989.24914675765"/>
    <n v="93918.753242320803"/>
    <n v="3037100"/>
    <n v="908431.1"/>
    <n v="52684"/>
    <n v="3562109.2491467576"/>
    <n v="1066983.8932423207"/>
    <n v="4629093.1423890786"/>
  </r>
  <r>
    <x v="28"/>
    <s v="Emp_572"/>
    <s v="Deputy Department Manager"/>
    <x v="3"/>
    <n v="1"/>
    <n v="236600"/>
    <n v="145000"/>
    <m/>
    <n v="80000"/>
    <n v="11600"/>
    <n v="2839200"/>
    <n v="0.12300000000000001"/>
    <n v="214020"/>
    <n v="64634.04"/>
    <n v="3053220"/>
    <n v="269197.44027303759"/>
    <n v="81297.626962457347"/>
    <n v="2602600"/>
    <n v="785985.2"/>
    <n v="52684"/>
    <n v="3085817.4402730376"/>
    <n v="931916.86696245731"/>
    <n v="4017734.3072354952"/>
  </r>
  <r>
    <x v="28"/>
    <s v="Emp_573"/>
    <s v="Lead Specialist"/>
    <x v="2"/>
    <n v="1"/>
    <n v="118400"/>
    <n v="80000"/>
    <m/>
    <n v="32000"/>
    <n v="6400"/>
    <n v="1420800"/>
    <n v="0.12300000000000001"/>
    <n v="118080.00000000003"/>
    <n v="35660.160000000011"/>
    <n v="1538880"/>
    <n v="135680.54607508532"/>
    <n v="40975.524914675763"/>
    <n v="1302400"/>
    <n v="393324.79999999999"/>
    <n v="35103"/>
    <n v="1556160.5460750854"/>
    <n v="469960.48491467576"/>
    <n v="2026121.0309897612"/>
  </r>
  <r>
    <x v="28"/>
    <s v="Emp_574"/>
    <s v="Senior Engineer"/>
    <x v="4"/>
    <n v="1"/>
    <n v="56000"/>
    <n v="35000"/>
    <m/>
    <n v="18200"/>
    <n v="2800"/>
    <n v="672000"/>
    <n v="0.12300000000000001"/>
    <n v="51660"/>
    <n v="15601.32"/>
    <n v="723660"/>
    <n v="63803.924914675772"/>
    <n v="19268.785324232082"/>
    <n v="616000"/>
    <n v="186032"/>
    <n v="35103"/>
    <n v="731463.92491467576"/>
    <n v="220902.10532423208"/>
    <n v="952366.03023890778"/>
  </r>
  <r>
    <x v="28"/>
    <s v="Emp_575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76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77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78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79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0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1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2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3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4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5"/>
    <s v="Senior Engineer"/>
    <x v="4"/>
    <n v="1"/>
    <n v="103400"/>
    <n v="80000"/>
    <m/>
    <n v="17000"/>
    <n v="6400"/>
    <n v="1240800"/>
    <n v="0.12300000000000001"/>
    <n v="118080.00000000003"/>
    <n v="35660.160000000011"/>
    <n v="1358880"/>
    <n v="119810.23890784982"/>
    <n v="36182.692150170646"/>
    <n v="1137400"/>
    <n v="343494.8"/>
    <n v="35103"/>
    <n v="1375290.2389078499"/>
    <n v="415337.65215017064"/>
    <n v="1790627.8910580205"/>
  </r>
  <r>
    <x v="28"/>
    <s v="Emp_586"/>
    <s v="Carpenter"/>
    <x v="5"/>
    <n v="1"/>
    <n v="56000"/>
    <n v="50000"/>
    <m/>
    <n v="2000"/>
    <n v="4000"/>
    <n v="672000"/>
    <n v="0.12300000000000001"/>
    <n v="73800.000000000015"/>
    <n v="22287.600000000002"/>
    <n v="745800"/>
    <n v="65755.972696245735"/>
    <n v="19858.303754266213"/>
    <n v="616000"/>
    <n v="186032"/>
    <n v="35103"/>
    <n v="755555.97269624576"/>
    <n v="228177.90375426621"/>
    <n v="983733.87645051198"/>
  </r>
  <r>
    <x v="28"/>
    <s v="Emp_587"/>
    <s v="Groundskeeper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88"/>
    <s v="Custodian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89"/>
    <s v="Custodian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90"/>
    <s v="Custodian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91"/>
    <s v="Custodian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92"/>
    <s v="Custodian"/>
    <x v="7"/>
    <n v="1"/>
    <n v="48800"/>
    <n v="35000"/>
    <m/>
    <n v="11000"/>
    <n v="2800"/>
    <n v="585600"/>
    <n v="0.12300000000000001"/>
    <n v="51660"/>
    <n v="15601.32"/>
    <n v="637260"/>
    <n v="56186.177474402735"/>
    <n v="16968.225597269626"/>
    <n v="536800"/>
    <n v="162113.60000000001"/>
    <n v="35103"/>
    <n v="644646.17747440271"/>
    <n v="194683.14559726964"/>
    <n v="839329.32307167235"/>
  </r>
  <r>
    <x v="28"/>
    <s v="Emp_593"/>
    <s v="Custodian"/>
    <x v="7"/>
    <n v="1"/>
    <n v="48800"/>
    <n v="35000"/>
    <m/>
    <n v="11000"/>
    <n v="2800"/>
    <n v="585600"/>
    <n v="0.12300000000000001"/>
    <n v="159600"/>
    <n v="48199.199999999997"/>
    <n v="745200"/>
    <n v="65703.071672354941"/>
    <n v="19842.327645051191"/>
    <n v="536800"/>
    <n v="162113.60000000001"/>
    <n v="35103"/>
    <n v="762103.07167235494"/>
    <n v="230155.12764505119"/>
    <n v="992258.19931740616"/>
  </r>
  <r>
    <x v="29"/>
    <s v="Emp_594"/>
    <s v="Head of Division"/>
    <x v="3"/>
    <n v="1"/>
    <n v="308000"/>
    <n v="200000"/>
    <n v="20000"/>
    <n v="72000"/>
    <n v="16000"/>
    <n v="3696000"/>
    <n v="0.38"/>
    <n v="295200.00000000006"/>
    <n v="89150.400000000009"/>
    <n v="3991200"/>
    <n v="351897.61092150171"/>
    <n v="106273.07849829351"/>
    <n v="3388000"/>
    <n v="961417"/>
    <n v="69507"/>
    <n v="4035097.6109215016"/>
    <n v="1156840.4784982936"/>
    <n v="5191938.0894197952"/>
  </r>
  <r>
    <x v="29"/>
    <s v="Emp_595"/>
    <s v="Deputy Head of Division – Department Manager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29"/>
    <s v="Emp_596"/>
    <s v="Deputy Head of Division"/>
    <x v="3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29"/>
    <s v="Emp_597"/>
    <s v="Deputy Head of Division"/>
    <x v="3"/>
    <n v="1"/>
    <n v="148000"/>
    <n v="100000"/>
    <m/>
    <n v="40000"/>
    <n v="8000"/>
    <n v="1776000"/>
    <n v="0.12300000000000001"/>
    <n v="147600.00000000003"/>
    <n v="44575.200000000004"/>
    <n v="1923600"/>
    <n v="169600.68259385665"/>
    <n v="51219.406143344706"/>
    <n v="1628000"/>
    <n v="491656"/>
    <n v="35103"/>
    <n v="1945200.6825938567"/>
    <n v="587450.60614334466"/>
    <n v="2532651.2887372011"/>
  </r>
  <r>
    <x v="29"/>
    <s v="Emp_598"/>
    <s v="Deputy Head of Division – Department Manager"/>
    <x v="3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29"/>
    <s v="Emp_599"/>
    <s v="Deputy Department Manager"/>
    <x v="3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29"/>
    <s v="Emp_600"/>
    <s v="Lead Specialist"/>
    <x v="2"/>
    <n v="1"/>
    <n v="104800"/>
    <n v="60000"/>
    <m/>
    <n v="40000"/>
    <n v="4800"/>
    <n v="1257600"/>
    <n v="0.12300000000000001"/>
    <n v="88560.000000000015"/>
    <n v="26745.120000000003"/>
    <n v="1346160"/>
    <n v="118688.73720136518"/>
    <n v="35843.998634812284"/>
    <n v="1152800"/>
    <n v="348145.6"/>
    <n v="35103"/>
    <n v="1360048.7372013652"/>
    <n v="410734.71863481228"/>
    <n v="1770783.4558361773"/>
  </r>
  <r>
    <x v="29"/>
    <s v="Emp_601"/>
    <s v="Department Manager"/>
    <x v="3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29"/>
    <s v="Emp_602"/>
    <s v="Deputy Department Manager"/>
    <x v="3"/>
    <n v="1"/>
    <n v="221600"/>
    <n v="145000"/>
    <m/>
    <n v="65000"/>
    <n v="11600"/>
    <n v="2659200"/>
    <n v="0.12300000000000001"/>
    <n v="214020"/>
    <n v="64634.04"/>
    <n v="2873220"/>
    <n v="253327.13310580203"/>
    <n v="76504.794197952215"/>
    <n v="2437600"/>
    <n v="736155.2"/>
    <n v="52684"/>
    <n v="2904947.1331058019"/>
    <n v="877294.03419795213"/>
    <n v="3782241.167303754"/>
  </r>
  <r>
    <x v="29"/>
    <s v="Emp_603"/>
    <s v="Senior Specialist"/>
    <x v="2"/>
    <n v="1"/>
    <n v="138000"/>
    <n v="100000"/>
    <m/>
    <n v="30000"/>
    <n v="8000"/>
    <n v="1656000"/>
    <n v="0.12300000000000001"/>
    <n v="456000"/>
    <n v="137712"/>
    <n v="2112000"/>
    <n v="186211.60409556312"/>
    <n v="56235.904436860059"/>
    <n v="1518000"/>
    <n v="458436"/>
    <n v="35103"/>
    <n v="2160211.6040955633"/>
    <n v="652383.90443686"/>
    <n v="2812595.5085324235"/>
  </r>
  <r>
    <x v="30"/>
    <s v="Emp_604"/>
    <s v="Head of Division"/>
    <x v="3"/>
    <n v="1"/>
    <n v="396000"/>
    <n v="200000"/>
    <n v="20000"/>
    <n v="16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30"/>
    <s v="Emp_605"/>
    <s v="Deputy Head of Division"/>
    <x v="3"/>
    <n v="1"/>
    <n v="271600"/>
    <n v="145000"/>
    <m/>
    <n v="115000"/>
    <n v="11600"/>
    <n v="3259200"/>
    <n v="0.12300000000000001"/>
    <n v="214020"/>
    <n v="64634.04"/>
    <n v="3473220"/>
    <n v="306228.15699658706"/>
    <n v="92480.903412969288"/>
    <n v="2987600"/>
    <n v="900956.6"/>
    <n v="52684"/>
    <n v="3507848.1569965873"/>
    <n v="1058071.5434129692"/>
    <n v="4565919.7004095567"/>
  </r>
  <r>
    <x v="30"/>
    <s v="Emp_606"/>
    <s v="Lead Litigation Counsel"/>
    <x v="2"/>
    <n v="1"/>
    <n v="196600"/>
    <n v="145000"/>
    <m/>
    <n v="40000"/>
    <n v="11600"/>
    <n v="2359200"/>
    <n v="0.12300000000000001"/>
    <n v="214020"/>
    <n v="64634.04"/>
    <n v="2573220"/>
    <n v="226876.62116040956"/>
    <n v="68516.739590443685"/>
    <n v="2162600"/>
    <n v="653105.19999999995"/>
    <n v="52684"/>
    <n v="2603496.6211604094"/>
    <n v="786255.97959044366"/>
    <n v="3389752.6007508533"/>
  </r>
  <r>
    <x v="30"/>
    <s v="Emp_607"/>
    <s v="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30"/>
    <s v="Emp_608"/>
    <s v="Department Manager"/>
    <x v="3"/>
    <n v="1"/>
    <n v="231600"/>
    <n v="145000"/>
    <m/>
    <n v="75000"/>
    <n v="11600"/>
    <n v="2779200"/>
    <n v="0.12300000000000001"/>
    <n v="214020"/>
    <n v="64634.04"/>
    <n v="2993220"/>
    <n v="263907.33788395906"/>
    <n v="79700.016040955627"/>
    <n v="2547600"/>
    <n v="769375.2"/>
    <n v="52684"/>
    <n v="3025527.3378839591"/>
    <n v="913709.25604095554"/>
    <n v="3939236.5939249145"/>
  </r>
  <r>
    <x v="30"/>
    <s v="Emp_609"/>
    <s v="Senior Specialist"/>
    <x v="2"/>
    <n v="1"/>
    <n v="184100"/>
    <n v="145000"/>
    <m/>
    <n v="27500"/>
    <n v="11600"/>
    <n v="2209200"/>
    <n v="0.12300000000000001"/>
    <n v="661200"/>
    <n v="199682.4"/>
    <n v="2870400"/>
    <n v="253078.49829351535"/>
    <n v="76429.706484641632"/>
    <n v="2025100"/>
    <n v="611580.19999999995"/>
    <n v="52684"/>
    <n v="2939378.4982935153"/>
    <n v="887692.30648464151"/>
    <n v="3827070.8047781568"/>
  </r>
  <r>
    <x v="31"/>
    <s v="Emp_610"/>
    <s v="Head of Division"/>
    <x v="3"/>
    <n v="1"/>
    <n v="396000"/>
    <n v="200000"/>
    <m/>
    <n v="180000"/>
    <n v="16000"/>
    <n v="4752000"/>
    <n v="0.38"/>
    <n v="295200.00000000006"/>
    <n v="89150.400000000009"/>
    <n v="5047200"/>
    <n v="445003.41296928324"/>
    <n v="134391.03071672353"/>
    <n v="4356000"/>
    <n v="1107585"/>
    <n v="69507"/>
    <n v="5096203.4129692838"/>
    <n v="1331126.4307167237"/>
    <n v="6427329.843686007"/>
  </r>
  <r>
    <x v="31"/>
    <s v="Emp_611"/>
    <s v="Deputy Head of Division"/>
    <x v="3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31"/>
    <s v="Emp_612"/>
    <s v="Advisor"/>
    <x v="2"/>
    <n v="1"/>
    <n v="261600"/>
    <n v="145000"/>
    <m/>
    <n v="105000"/>
    <n v="11600"/>
    <n v="3139200"/>
    <n v="0.12300000000000001"/>
    <n v="214020"/>
    <n v="64634.04"/>
    <n v="3353220"/>
    <n v="295647.95221843006"/>
    <n v="89285.681569965876"/>
    <n v="2877600"/>
    <n v="869035.2"/>
    <n v="52684"/>
    <n v="3387267.9522184301"/>
    <n v="1022954.9215699658"/>
    <n v="4410222.8737883959"/>
  </r>
  <r>
    <x v="31"/>
    <s v="Emp_613"/>
    <s v="Assistant"/>
    <x v="1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31"/>
    <s v="Emp_614"/>
    <s v="Specialist"/>
    <x v="2"/>
    <n v="1"/>
    <n v="74000"/>
    <n v="50000"/>
    <m/>
    <n v="20000"/>
    <n v="4000"/>
    <n v="888000"/>
    <n v="0.12300000000000001"/>
    <n v="73800.000000000015"/>
    <n v="22287.600000000002"/>
    <n v="961800"/>
    <n v="84800.341296928324"/>
    <n v="25609.703071672353"/>
    <n v="814000"/>
    <n v="245828"/>
    <n v="35103"/>
    <n v="972600.34129692835"/>
    <n v="293725.30307167233"/>
    <n v="1266325.6443686006"/>
  </r>
  <r>
    <x v="32"/>
    <s v="Emp_615"/>
    <s v="Deputy Head of Division – Department Manager"/>
    <x v="3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32"/>
    <s v="Emp_616"/>
    <s v="Deputy Department Manager"/>
    <x v="3"/>
    <n v="1"/>
    <n v="126400"/>
    <n v="80000"/>
    <m/>
    <n v="40000"/>
    <n v="6400"/>
    <n v="1516800"/>
    <n v="0.12300000000000001"/>
    <n v="118080.00000000003"/>
    <n v="35660.160000000011"/>
    <n v="1634880"/>
    <n v="144144.70989761094"/>
    <n v="43531.702389078506"/>
    <n v="1390400"/>
    <n v="419900.8"/>
    <n v="35103"/>
    <n v="1652624.7098976108"/>
    <n v="499092.66238907853"/>
    <n v="2151717.3722866895"/>
  </r>
  <r>
    <x v="32"/>
    <s v="Emp_617"/>
    <s v="Senior Specialist"/>
    <x v="2"/>
    <n v="1"/>
    <n v="81800"/>
    <n v="60000"/>
    <m/>
    <n v="17000"/>
    <n v="4800"/>
    <n v="981600"/>
    <n v="0.12300000000000001"/>
    <n v="88560.000000000015"/>
    <n v="26745.120000000003"/>
    <n v="1070160"/>
    <n v="94354.266211604088"/>
    <n v="28494.988395904435"/>
    <n v="899800"/>
    <n v="271739.59999999998"/>
    <n v="35103"/>
    <n v="1082714.2662116042"/>
    <n v="326979.7083959044"/>
    <n v="1409693.9746075086"/>
  </r>
  <r>
    <x v="32"/>
    <s v="Emp_618"/>
    <s v="Lead Specialist"/>
    <x v="2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32"/>
    <s v="Emp_619"/>
    <s v="Senior Specialist"/>
    <x v="2"/>
    <n v="1"/>
    <n v="126400"/>
    <n v="80000"/>
    <m/>
    <n v="40000"/>
    <n v="6400"/>
    <n v="1516800"/>
    <n v="0.12300000000000001"/>
    <n v="118080.00000000003"/>
    <n v="35660.160000000011"/>
    <n v="1634880"/>
    <n v="144144.70989761094"/>
    <n v="43531.702389078506"/>
    <n v="1390400"/>
    <n v="419900.8"/>
    <n v="35103"/>
    <n v="1652624.7098976108"/>
    <n v="499092.66238907853"/>
    <n v="2151717.3722866895"/>
  </r>
  <r>
    <x v="32"/>
    <s v="Emp_620"/>
    <s v="Specialist"/>
    <x v="2"/>
    <n v="1"/>
    <n v="104800"/>
    <n v="60000"/>
    <m/>
    <n v="40000"/>
    <n v="4800"/>
    <n v="1257600"/>
    <n v="0.12300000000000001"/>
    <n v="88560.000000000015"/>
    <n v="26745.120000000003"/>
    <n v="1346160"/>
    <n v="118688.73720136518"/>
    <n v="35843.998634812284"/>
    <n v="1152800"/>
    <n v="348145.6"/>
    <n v="35103"/>
    <n v="1360048.7372013652"/>
    <n v="410734.71863481228"/>
    <n v="1770783.4558361773"/>
  </r>
  <r>
    <x v="33"/>
    <s v="Emp_621"/>
    <s v="Department Manager"/>
    <x v="3"/>
    <n v="1"/>
    <n v="271600"/>
    <n v="145000"/>
    <m/>
    <n v="115000"/>
    <n v="11600"/>
    <n v="3259200"/>
    <n v="0.12300000000000001"/>
    <n v="214020"/>
    <n v="64634.04"/>
    <n v="3473220"/>
    <n v="306228.15699658706"/>
    <n v="92480.903412969288"/>
    <n v="2987600"/>
    <n v="900956.6"/>
    <n v="52684"/>
    <n v="3507848.1569965873"/>
    <n v="1058071.5434129692"/>
    <n v="4565919.7004095567"/>
  </r>
  <r>
    <x v="33"/>
    <s v="Emp_622"/>
    <s v="Deputy Department Manager"/>
    <x v="3"/>
    <n v="1"/>
    <n v="186600"/>
    <n v="145000"/>
    <m/>
    <n v="30000"/>
    <n v="11600"/>
    <n v="2239200"/>
    <n v="0.12300000000000001"/>
    <n v="214020"/>
    <n v="64634.04"/>
    <n v="2453220"/>
    <n v="216296.41638225256"/>
    <n v="65321.517747440274"/>
    <n v="2052600"/>
    <n v="619885.19999999995"/>
    <n v="52684"/>
    <n v="2482916.4163822527"/>
    <n v="749840.75774744025"/>
    <n v="3232757.1741296928"/>
  </r>
  <r>
    <x v="33"/>
    <s v="Emp_623"/>
    <s v="Lead Specialist"/>
    <x v="2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33"/>
    <s v="Emp_624"/>
    <s v="Lead Specialist"/>
    <x v="2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33"/>
    <s v="Emp_625"/>
    <s v="Lead Specialist"/>
    <x v="2"/>
    <n v="1"/>
    <n v="178000"/>
    <n v="100000"/>
    <m/>
    <n v="70000"/>
    <n v="8000"/>
    <n v="2136000"/>
    <n v="0.12300000000000001"/>
    <n v="147600.00000000003"/>
    <n v="44575.200000000004"/>
    <n v="2283600"/>
    <n v="201341.29692832765"/>
    <n v="60805.071672354949"/>
    <n v="1958000"/>
    <n v="591316"/>
    <n v="35103"/>
    <n v="2306941.2969283275"/>
    <n v="696696.27167235501"/>
    <n v="3003637.5686006825"/>
  </r>
  <r>
    <x v="33"/>
    <s v="Emp_626"/>
    <s v="Senior Specialist"/>
    <x v="2"/>
    <n v="1"/>
    <n v="126400"/>
    <n v="100000"/>
    <m/>
    <n v="18400"/>
    <n v="8000"/>
    <n v="1516800"/>
    <n v="0.12300000000000001"/>
    <n v="147600.00000000003"/>
    <n v="44575.200000000004"/>
    <n v="1664400"/>
    <n v="146747.44027303753"/>
    <n v="44317.726962457331"/>
    <n v="1390400"/>
    <n v="419900.8"/>
    <n v="35103"/>
    <n v="1684747.4402730376"/>
    <n v="508793.72696245729"/>
    <n v="2193541.1672354951"/>
  </r>
  <r>
    <x v="33"/>
    <s v="Emp_627"/>
    <s v="Senior Specialist"/>
    <x v="2"/>
    <n v="1"/>
    <n v="148000"/>
    <n v="100000"/>
    <m/>
    <n v="40000"/>
    <n v="8000"/>
    <n v="1776000"/>
    <n v="0.12300000000000001"/>
    <n v="456000"/>
    <n v="137712"/>
    <n v="2232000"/>
    <n v="196791.80887372012"/>
    <n v="59431.126279863471"/>
    <n v="1628000"/>
    <n v="491656"/>
    <n v="35103"/>
    <n v="2280791.80887372"/>
    <n v="688799.12627986353"/>
    <n v="2969590.9351535835"/>
  </r>
  <r>
    <x v="34"/>
    <s v="Emp_628"/>
    <s v="Department Manager"/>
    <x v="3"/>
    <n v="1"/>
    <n v="318000"/>
    <n v="200000"/>
    <m/>
    <n v="102000"/>
    <n v="16000"/>
    <n v="3816000"/>
    <n v="0.38"/>
    <n v="912000"/>
    <n v="275424"/>
    <n v="4728000"/>
    <n v="416860.06825938565"/>
    <n v="125891.74061433446"/>
    <n v="3498000"/>
    <n v="978027"/>
    <n v="69507"/>
    <n v="4826860.0682593854"/>
    <n v="1379342.7406143346"/>
    <n v="6206202.8088737205"/>
  </r>
  <r>
    <x v="34"/>
    <s v="Emp_629"/>
    <s v="Deputy Department Manager"/>
    <x v="3"/>
    <n v="1"/>
    <n v="236600"/>
    <n v="200000"/>
    <m/>
    <n v="20600"/>
    <n v="16000"/>
    <n v="2839200"/>
    <n v="0.38"/>
    <n v="912000"/>
    <n v="275424"/>
    <n v="3751200"/>
    <n v="330737.20136518771"/>
    <n v="99882.634812286691"/>
    <n v="2602600"/>
    <n v="785985.2"/>
    <n v="69507"/>
    <n v="3845337.2013651878"/>
    <n v="1161291.8348122868"/>
    <n v="5006629.036177475"/>
  </r>
  <r>
    <x v="34"/>
    <s v="Emp_630"/>
    <s v="Senior Engineer"/>
    <x v="4"/>
    <n v="1"/>
    <n v="236600"/>
    <n v="200000"/>
    <m/>
    <n v="20600"/>
    <n v="16000"/>
    <n v="2839200"/>
    <n v="0.38"/>
    <n v="295200.00000000006"/>
    <n v="89150.400000000009"/>
    <n v="3134400"/>
    <n v="276354.94880546071"/>
    <n v="83459.194539249133"/>
    <n v="2602600"/>
    <n v="785985.2"/>
    <n v="69507"/>
    <n v="3174154.9488054607"/>
    <n v="958594.79453924904"/>
    <n v="4132749.7433447097"/>
  </r>
  <r>
    <x v="34"/>
    <s v="Emp_631"/>
    <s v="Senior Specialist"/>
    <x v="2"/>
    <n v="1"/>
    <n v="96400"/>
    <n v="80000"/>
    <m/>
    <n v="10000"/>
    <n v="6400"/>
    <n v="1156800"/>
    <n v="0.12300000000000001"/>
    <n v="118080.00000000003"/>
    <n v="35660.160000000011"/>
    <n v="1274880"/>
    <n v="112404.09556313993"/>
    <n v="33946.036860068256"/>
    <n v="1060400"/>
    <n v="320240.8"/>
    <n v="35103"/>
    <n v="1290884.09556314"/>
    <n v="389846.99686006829"/>
    <n v="1680731.0924232083"/>
  </r>
  <r>
    <x v="34"/>
    <s v="Emp_632"/>
    <s v="Senior Engineer"/>
    <x v="4"/>
    <n v="1"/>
    <n v="90400"/>
    <n v="80000"/>
    <m/>
    <n v="4000"/>
    <n v="6400"/>
    <n v="1084800"/>
    <n v="0.12300000000000001"/>
    <n v="118080.00000000003"/>
    <n v="35660.160000000011"/>
    <n v="1202880"/>
    <n v="106055.97269624574"/>
    <n v="32028.903754266212"/>
    <n v="994400"/>
    <n v="300308.8"/>
    <n v="35103"/>
    <n v="1218535.9726962456"/>
    <n v="367997.86375426617"/>
    <n v="1586533.8364505118"/>
  </r>
  <r>
    <x v="34"/>
    <s v="Emp_633"/>
    <s v="Occupational Safety Engineer"/>
    <x v="4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35"/>
    <s v="Emp_634"/>
    <s v="Senior Engineer"/>
    <x v="4"/>
    <n v="1"/>
    <n v="116400"/>
    <n v="80000"/>
    <m/>
    <n v="30000"/>
    <n v="6400"/>
    <n v="1396800"/>
    <n v="0.12300000000000001"/>
    <n v="118080.00000000003"/>
    <n v="35660.160000000011"/>
    <n v="1514880"/>
    <n v="133564.50511945394"/>
    <n v="40336.480546075087"/>
    <n v="1280400"/>
    <n v="386680.8"/>
    <n v="35103"/>
    <n v="1532044.5051194539"/>
    <n v="462677.44054607511"/>
    <n v="1994721.945665529"/>
  </r>
  <r>
    <x v="35"/>
    <s v="Emp_635"/>
    <s v="Lead Specialist"/>
    <x v="2"/>
    <n v="1"/>
    <n v="158000"/>
    <n v="100000"/>
    <m/>
    <n v="50000"/>
    <n v="8000"/>
    <n v="1896000"/>
    <n v="0.12300000000000001"/>
    <n v="147600.00000000003"/>
    <n v="44575.200000000004"/>
    <n v="2043600"/>
    <n v="180180.88737201365"/>
    <n v="54414.627986348118"/>
    <n v="1738000"/>
    <n v="524876"/>
    <n v="35103"/>
    <n v="2065780.8873720136"/>
    <n v="623865.82798634819"/>
    <n v="2689646.7153583616"/>
  </r>
  <r>
    <x v="35"/>
    <s v="Emp_636"/>
    <s v="Senior Engineer"/>
    <x v="4"/>
    <n v="1"/>
    <n v="90400"/>
    <n v="80000"/>
    <m/>
    <n v="4000"/>
    <n v="6400"/>
    <n v="1084800"/>
    <n v="0.12300000000000001"/>
    <n v="118080.00000000003"/>
    <n v="35660.160000000011"/>
    <n v="1202880"/>
    <n v="106055.97269624574"/>
    <n v="32028.903754266212"/>
    <n v="994400"/>
    <n v="300308.8"/>
    <n v="35103"/>
    <n v="1218535.9726962456"/>
    <n v="367997.86375426617"/>
    <n v="1586533.8364505118"/>
  </r>
  <r>
    <x v="35"/>
    <s v="Emp_637"/>
    <s v="Senior Engineer"/>
    <x v="4"/>
    <n v="1"/>
    <n v="90400"/>
    <n v="80000"/>
    <m/>
    <n v="4000"/>
    <n v="6400"/>
    <n v="1084800"/>
    <n v="0.12300000000000001"/>
    <n v="118080.00000000003"/>
    <n v="35660.160000000011"/>
    <n v="1202880"/>
    <n v="106055.97269624574"/>
    <n v="32028.903754266212"/>
    <n v="994400"/>
    <n v="300308.8"/>
    <n v="35103"/>
    <n v="1218535.9726962456"/>
    <n v="367997.86375426617"/>
    <n v="1586533.8364505118"/>
  </r>
  <r>
    <x v="35"/>
    <s v="Emp_638"/>
    <s v="Lead Security Compliance Specialist"/>
    <x v="2"/>
    <n v="1"/>
    <n v="201100"/>
    <m/>
    <m/>
    <n v="201100"/>
    <n v="0"/>
    <n v="2413200"/>
    <n v="0.12300000000000001"/>
    <n v="0"/>
    <n v="0"/>
    <n v="2413200"/>
    <n v="212767.91808873721"/>
    <n v="64255.911262798632"/>
    <n v="2212100"/>
    <n v="668054.19999999995"/>
    <n v="35103"/>
    <n v="2424867.9180887374"/>
    <n v="732310.11126279854"/>
    <n v="3157178.0293515362"/>
  </r>
  <r>
    <x v="35"/>
    <s v="Emp_639"/>
    <s v="Security Compliance Specialist"/>
    <x v="2"/>
    <n v="1"/>
    <n v="54000"/>
    <n v="50000"/>
    <m/>
    <n v="0"/>
    <n v="4000"/>
    <n v="648000"/>
    <n v="0.12300000000000001"/>
    <n v="73800.000000000015"/>
    <n v="22287.600000000002"/>
    <n v="721800"/>
    <n v="63639.931740614331"/>
    <n v="19219.259385665526"/>
    <n v="594000"/>
    <n v="179388"/>
    <n v="35103"/>
    <n v="731439.93174061435"/>
    <n v="220894.85938566554"/>
    <n v="952334.79112627986"/>
  </r>
  <r>
    <x v="35"/>
    <s v="Emp_640"/>
    <s v="Lead Civil Defense &amp; Emergency Specialist"/>
    <x v="2"/>
    <n v="1"/>
    <n v="226100"/>
    <n v="145000"/>
    <m/>
    <n v="69500"/>
    <n v="11600"/>
    <n v="2713200"/>
    <n v="0.12300000000000001"/>
    <n v="214020"/>
    <n v="64634.04"/>
    <n v="2927220"/>
    <n v="258088.22525597271"/>
    <n v="77942.644027303759"/>
    <n v="2487100"/>
    <n v="751104.2"/>
    <n v="52684"/>
    <n v="2959208.2252559727"/>
    <n v="893680.88402730366"/>
    <n v="3852889.1092832764"/>
  </r>
  <r>
    <x v="35"/>
    <s v="Emp_641"/>
    <s v="Senior Specialist"/>
    <x v="2"/>
    <n v="1"/>
    <n v="226100"/>
    <n v="145000"/>
    <m/>
    <n v="69500"/>
    <n v="11600"/>
    <n v="2713200"/>
    <n v="0.12300000000000001"/>
    <n v="0"/>
    <n v="0"/>
    <n v="2713200"/>
    <n v="239218.43003412968"/>
    <n v="72243.965870307162"/>
    <n v="2487100"/>
    <n v="751104.2"/>
    <n v="52684"/>
    <n v="2726318.4300341299"/>
    <n v="823348.16587030713"/>
    <n v="3549666.59590443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9C437-EFB6-4B02-9010-3716406F08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23">
    <pivotField showAll="0"/>
    <pivotField dataField="1" showAll="0"/>
    <pivotField showAll="0"/>
    <pivotField axis="axisRow" showAll="0" sortType="descending">
      <items count="9">
        <item x="1"/>
        <item x="4"/>
        <item x="0"/>
        <item x="7"/>
        <item x="3"/>
        <item x="6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showAll="0"/>
    <pivotField showAll="0"/>
    <pivotField numFmtId="4" showAll="0"/>
    <pivotField numFmtId="4" showAll="0"/>
    <pivotField numFmtId="4" showAll="0"/>
    <pivotField numFmtId="10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3"/>
  </rowFields>
  <rowItems count="9">
    <i>
      <x v="6"/>
    </i>
    <i>
      <x v="3"/>
    </i>
    <i>
      <x v="7"/>
    </i>
    <i>
      <x v="4"/>
    </i>
    <i>
      <x v="1"/>
    </i>
    <i>
      <x v="5"/>
    </i>
    <i>
      <x/>
    </i>
    <i>
      <x v="2"/>
    </i>
    <i t="grand">
      <x/>
    </i>
  </rowItems>
  <colItems count="1">
    <i/>
  </colItems>
  <dataFields count="1">
    <dataField name="Headcount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D6460-8DA1-4FCA-B3B6-DC595781A4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40" firstHeaderRow="1" firstDataRow="1" firstDataCol="1"/>
  <pivotFields count="23">
    <pivotField axis="axisRow" showAll="0">
      <items count="37">
        <item x="0"/>
        <item x="21"/>
        <item x="12"/>
        <item x="7"/>
        <item x="8"/>
        <item x="9"/>
        <item x="2"/>
        <item x="14"/>
        <item x="4"/>
        <item x="18"/>
        <item x="6"/>
        <item x="11"/>
        <item x="22"/>
        <item x="13"/>
        <item x="17"/>
        <item x="5"/>
        <item x="3"/>
        <item x="19"/>
        <item x="23"/>
        <item x="10"/>
        <item x="27"/>
        <item x="25"/>
        <item x="20"/>
        <item x="29"/>
        <item x="26"/>
        <item x="34"/>
        <item x="24"/>
        <item x="1"/>
        <item x="33"/>
        <item x="32"/>
        <item x="30"/>
        <item x="31"/>
        <item x="35"/>
        <item x="16"/>
        <item x="15"/>
        <item x="28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numFmtId="4" showAll="0"/>
    <pivotField numFmtId="4" showAll="0"/>
    <pivotField numFmtId="4" showAll="0"/>
    <pivotField numFmtId="10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Compensation Cost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7FCF1-542D-40C6-BCE2-E4CC3F23A3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23">
    <pivotField showAll="0"/>
    <pivotField showAll="0"/>
    <pivotField showAll="0"/>
    <pivotField axis="axisRow" showAll="0">
      <items count="9">
        <item x="1"/>
        <item x="4"/>
        <item x="0"/>
        <item x="7"/>
        <item x="3"/>
        <item x="6"/>
        <item x="2"/>
        <item x="5"/>
        <item t="default"/>
      </items>
    </pivotField>
    <pivotField showAll="0"/>
    <pivotField numFmtId="4" showAll="0"/>
    <pivotField showAll="0"/>
    <pivotField showAll="0"/>
    <pivotField numFmtId="4" showAll="0"/>
    <pivotField numFmtId="4" showAll="0"/>
    <pivotField numFmtId="4" showAll="0"/>
    <pivotField numFmtId="10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 Payroll" fld="22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1B70D-B024-4010-A46B-668FF317D7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23">
    <pivotField showAll="0"/>
    <pivotField showAll="0"/>
    <pivotField showAll="0"/>
    <pivotField axis="axisRow" showAll="0">
      <items count="9">
        <item x="1"/>
        <item x="4"/>
        <item x="0"/>
        <item x="7"/>
        <item x="3"/>
        <item x="6"/>
        <item x="2"/>
        <item x="5"/>
        <item t="default"/>
      </items>
    </pivotField>
    <pivotField showAll="0"/>
    <pivotField dataField="1" numFmtId="4" showAll="0"/>
    <pivotField showAll="0"/>
    <pivotField showAll="0"/>
    <pivotField numFmtId="4" showAll="0"/>
    <pivotField numFmtId="4" showAll="0"/>
    <pivotField numFmtId="4" showAll="0"/>
    <pivotField numFmtId="10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onthly Salary" fld="5" subtotal="average" baseField="3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7ADE8B-068C-4276-A220-C9952F79E4E7}" name="Payroll_Data_Analysis" displayName="Payroll_Data_Analysis" ref="A1:W641" totalsRowShown="0" headerRowDxfId="27" dataDxfId="25" headerRowBorderDxfId="26" tableBorderDxfId="24" totalsRowBorderDxfId="23">
  <autoFilter ref="A1:W641" xr:uid="{017ADE8B-068C-4276-A220-C9952F79E4E7}"/>
  <tableColumns count="23">
    <tableColumn id="3" xr3:uid="{1F06A594-3171-473E-A900-9A8DA82B3491}" name="Department" dataDxfId="22"/>
    <tableColumn id="5" xr3:uid="{C62B97B0-E951-47CB-BDC7-869E12F35CA4}" name="Employee ID" dataDxfId="21"/>
    <tableColumn id="6" xr3:uid="{205E5D75-CC54-466A-A4D2-0D9181A14E70}" name="Position" dataDxfId="20"/>
    <tableColumn id="2" xr3:uid="{D0466351-AC5D-4734-964C-29E0373B14A3}" name="Job Function" dataDxfId="19">
      <calculatedColumnFormula>VLOOKUP(Payroll_Data_Analysis[[#This Row],[Position]],Position_Map!$A$2:$B$58,2,FALSE)</calculatedColumnFormula>
    </tableColumn>
    <tableColumn id="8" xr3:uid="{9F08C476-6ED8-48DF-B121-9AA2086F4CD9}" name="№" dataDxfId="18"/>
    <tableColumn id="9" xr3:uid="{63156C0F-5FAB-4192-9A33-C9489A5F43CC}" name="Monthly Salary" dataDxfId="17"/>
    <tableColumn id="10" xr3:uid="{C19F3FC9-8571-4E25-A124-FFDD4EB0E2DC}" name="Base Salary (Monthly)" dataDxfId="16"/>
    <tableColumn id="11" xr3:uid="{E9684916-6443-460F-86DE-AA28E594626A}" name="Security Clearance Allowance" dataDxfId="15">
      <calculatedColumnFormula>dataset!$G2*0.1</calculatedColumnFormula>
    </tableColumn>
    <tableColumn id="12" xr3:uid="{6C56387A-AA7E-4864-A542-DB0BBAD0D417}" name="Performance Bonus" dataDxfId="14">
      <calculatedColumnFormula>dataset!$F2-dataset!$J2-dataset!$G2-dataset!$H2</calculatedColumnFormula>
    </tableColumn>
    <tableColumn id="13" xr3:uid="{EA4D2381-656A-4D8F-946D-2F512BDC24C1}" name="Salary Indexation (8%)" dataDxfId="13">
      <calculatedColumnFormula>dataset!$G2*0.08</calculatedColumnFormula>
    </tableColumn>
    <tableColumn id="16" xr3:uid="{BF879ADA-F0D6-4EA3-8DBC-B63D8E1BF65E}" name="Annual Salary" dataDxfId="12">
      <calculatedColumnFormula>dataset!$F2*12</calculatedColumnFormula>
    </tableColumn>
    <tableColumn id="17" xr3:uid="{016C1A7C-71EC-4644-8955-DF5922A8CFCD}" name="KPI Bonus (%)" dataDxfId="11">
      <calculatedColumnFormula>IF(dataset!$G2&gt;=200000,38%,IF(dataset!$G2&lt;=145000,12.3%,))</calculatedColumnFormula>
    </tableColumn>
    <tableColumn id="18" xr3:uid="{824C20BB-4722-44AC-AA8D-E3E785DF0F92}" name="Annual KPI Bonus Reserve" dataDxfId="10">
      <calculatedColumnFormula>dataset!$G2*L3*12</calculatedColumnFormula>
    </tableColumn>
    <tableColumn id="19" xr3:uid="{D3816AA9-74DF-48FA-821A-08A63C339891}" name="Payroll Taxes (KPI Bonus)" dataDxfId="9">
      <calculatedColumnFormula>IF(Payroll_Data_Analysis[[#This Row],[Annual KPI Bonus Reserve]]&lt;=2979000,Payroll_Data_Analysis[[#This Row],[Annual KPI Bonus Reserve]]*0.302,2979000*0.302+(Payroll_Data_Analysis[[#This Row],[Annual KPI Bonus Reserve]]-2979000)*0.151)</calculatedColumnFormula>
    </tableColumn>
    <tableColumn id="20" xr3:uid="{E5177AAB-77B3-49C4-A75F-5B4E71BC2B92}" name="Annual Salary + KPI Bonus" dataDxfId="8">
      <calculatedColumnFormula>dataset!$K2+dataset!$M2</calculatedColumnFormula>
    </tableColumn>
    <tableColumn id="21" xr3:uid="{574CB583-2426-4192-B6EB-80E5F8D563EB}" name="Vacation Reserve" dataDxfId="7">
      <calculatedColumnFormula>Payroll_Data_Analysis[[#This Row],[Annual Salary + KPI Bonus]]/12/29.3*31</calculatedColumnFormula>
    </tableColumn>
    <tableColumn id="22" xr3:uid="{5B344494-FA42-4A81-919C-1536DA9F8F11}" name="Payroll Taxes (Vacation)" dataDxfId="6">
      <calculatedColumnFormula>IF(Payroll_Data_Analysis[[#This Row],[Vacation Reserve]]&lt;=2979000,Payroll_Data_Analysis[[#This Row],[Vacation Reserve]]*0.302,2979000*0.302+(Payroll_Data_Analysis[[#This Row],[Vacation Reserve]]-2979000)*0.151)</calculatedColumnFormula>
    </tableColumn>
    <tableColumn id="23" xr3:uid="{C46BC61A-EAFA-4DDE-B68D-FCDB970428F6}" name="11-Month Salary" dataDxfId="5">
      <calculatedColumnFormula>Payroll_Data_Analysis[[#This Row],[Monthly Salary]]*11</calculatedColumnFormula>
    </tableColumn>
    <tableColumn id="24" xr3:uid="{DF8E592A-A9D1-4A19-A79B-31427F5ED175}" name="Payroll Taxes (Salary)" dataDxfId="4">
      <calculatedColumnFormula>IF(Payroll_Data_Analysis[[#This Row],[11-Month Salary]]&lt;=2979000,Payroll_Data_Analysis[[#This Row],[11-Month Salary]]*0.302,2979000*0.302+(Payroll_Data_Analysis[[#This Row],[11-Month Salary]]-2979000)*0.151)</calculatedColumnFormula>
    </tableColumn>
    <tableColumn id="25" xr3:uid="{C2C4FDAC-D51F-44A5-9419-6099A3E7B352}" name="Health Insurance" dataDxfId="3"/>
    <tableColumn id="26" xr3:uid="{E6D7EDC8-9AEF-4060-A6DD-9DC443EAD01E}" name="Total Payroll" dataDxfId="2">
      <calculatedColumnFormula>Payroll_Data_Analysis[[#This Row],[Annual KPI Bonus Reserve]]+Payroll_Data_Analysis[[#This Row],[Vacation Reserve]]+Payroll_Data_Analysis[[#This Row],[11-Month Salary]]</calculatedColumnFormula>
    </tableColumn>
    <tableColumn id="27" xr3:uid="{84C05673-534D-44A3-9549-254EF6CC63EC}" name="Total Payroll Taxes" dataDxfId="1">
      <calculatedColumnFormula>Payroll_Data_Analysis[[#This Row],[Payroll Taxes (KPI Bonus)]]+Payroll_Data_Analysis[[#This Row],[Payroll Taxes (Vacation)]]+Payroll_Data_Analysis[[#This Row],[Payroll Taxes (Salary)]]</calculatedColumnFormula>
    </tableColumn>
    <tableColumn id="1" xr3:uid="{AABFF043-B73F-47B1-89DA-D9FE6C34BD85}" name="Total Compensation Cost" dataDxfId="0">
      <calculatedColumnFormula>Payroll_Data_Analysis[[#This Row],[Total Payroll]]+Payroll_Data_Analysis[[#This Row],[Total Payroll Taxes]]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42"/>
  <sheetViews>
    <sheetView tabSelected="1" zoomScale="80" zoomScaleNormal="80" workbookViewId="0">
      <pane ySplit="1" topLeftCell="A2" activePane="bottomLeft" state="frozen"/>
      <selection pane="bottomLeft" activeCell="Q2" sqref="Q2"/>
    </sheetView>
  </sheetViews>
  <sheetFormatPr defaultRowHeight="14.4"/>
  <cols>
    <col min="1" max="1" width="31.88671875" customWidth="1"/>
    <col min="2" max="2" width="15.44140625" customWidth="1"/>
    <col min="3" max="3" width="29.109375" customWidth="1"/>
    <col min="4" max="4" width="15.88671875" customWidth="1"/>
    <col min="5" max="5" width="8.6640625" customWidth="1"/>
    <col min="6" max="6" width="17.88671875" customWidth="1"/>
    <col min="7" max="7" width="15.77734375" customWidth="1"/>
    <col min="8" max="8" width="11.77734375" customWidth="1"/>
    <col min="9" max="9" width="14.88671875" customWidth="1"/>
    <col min="10" max="10" width="13.5546875" customWidth="1"/>
    <col min="11" max="11" width="16.109375" customWidth="1"/>
    <col min="12" max="12" width="14.77734375" style="4" customWidth="1"/>
    <col min="13" max="13" width="15.6640625" customWidth="1"/>
    <col min="14" max="14" width="15.109375" customWidth="1"/>
    <col min="15" max="15" width="18.109375" customWidth="1"/>
    <col min="16" max="16" width="19.33203125" style="1" customWidth="1"/>
    <col min="17" max="17" width="19.109375" customWidth="1"/>
    <col min="18" max="18" width="15" bestFit="1" customWidth="1"/>
    <col min="19" max="19" width="19" customWidth="1"/>
    <col min="20" max="20" width="17.6640625" customWidth="1"/>
    <col min="21" max="21" width="24.33203125" customWidth="1"/>
    <col min="22" max="22" width="20" customWidth="1"/>
    <col min="23" max="23" width="18.6640625" customWidth="1"/>
  </cols>
  <sheetData>
    <row r="1" spans="1:23" ht="70.5" customHeight="1">
      <c r="A1" s="9" t="s">
        <v>2</v>
      </c>
      <c r="B1" s="10" t="s">
        <v>4</v>
      </c>
      <c r="C1" s="10" t="s">
        <v>0</v>
      </c>
      <c r="D1" s="26" t="s">
        <v>754</v>
      </c>
      <c r="E1" s="10" t="s">
        <v>670</v>
      </c>
      <c r="F1" s="10" t="s">
        <v>1</v>
      </c>
      <c r="G1" s="10" t="s">
        <v>682</v>
      </c>
      <c r="H1" s="10" t="s">
        <v>683</v>
      </c>
      <c r="I1" s="10" t="s">
        <v>684</v>
      </c>
      <c r="J1" s="10" t="s">
        <v>685</v>
      </c>
      <c r="K1" s="10" t="s">
        <v>3</v>
      </c>
      <c r="L1" s="10" t="s">
        <v>686</v>
      </c>
      <c r="M1" s="10" t="s">
        <v>687</v>
      </c>
      <c r="N1" s="10" t="s">
        <v>688</v>
      </c>
      <c r="O1" s="10" t="s">
        <v>689</v>
      </c>
      <c r="P1" s="10" t="s">
        <v>690</v>
      </c>
      <c r="Q1" s="10" t="s">
        <v>770</v>
      </c>
      <c r="R1" s="10" t="s">
        <v>691</v>
      </c>
      <c r="S1" s="10" t="s">
        <v>692</v>
      </c>
      <c r="T1" s="10" t="s">
        <v>693</v>
      </c>
      <c r="U1" s="10" t="s">
        <v>694</v>
      </c>
      <c r="V1" s="10" t="s">
        <v>695</v>
      </c>
      <c r="W1" s="10" t="s">
        <v>696</v>
      </c>
    </row>
    <row r="2" spans="1:23">
      <c r="A2" s="11" t="s">
        <v>645</v>
      </c>
      <c r="B2" s="5" t="s">
        <v>5</v>
      </c>
      <c r="C2" s="5" t="s">
        <v>697</v>
      </c>
      <c r="D2" s="28" t="str">
        <f>VLOOKUP(Payroll_Data_Analysis[[#This Row],[Position]],Position_Map!$A$2:$B$58,2,FALSE)</f>
        <v>Executive</v>
      </c>
      <c r="E2" s="6">
        <v>1</v>
      </c>
      <c r="F2" s="7">
        <v>600000</v>
      </c>
      <c r="G2" s="7">
        <v>265000</v>
      </c>
      <c r="H2" s="7">
        <f>dataset!$G2*0.1</f>
        <v>26500</v>
      </c>
      <c r="I2" s="7">
        <f>dataset!$F2-dataset!$J2-dataset!$G2-dataset!$H2</f>
        <v>287300</v>
      </c>
      <c r="J2" s="7">
        <f>dataset!$G2*0.08</f>
        <v>21200</v>
      </c>
      <c r="K2" s="7">
        <f>dataset!$F2*12</f>
        <v>7200000</v>
      </c>
      <c r="L2" s="12">
        <f>IF(dataset!$G2&gt;=200000,38%,IF(dataset!$G2&lt;=145000,12.3%,))</f>
        <v>0.38</v>
      </c>
      <c r="M2" s="7">
        <f>dataset!$G2*L3*12</f>
        <v>391140.00000000006</v>
      </c>
      <c r="N2" s="7">
        <f>IF(Payroll_Data_Analysis[[#This Row],[Annual KPI Bonus Reserve]]&lt;=2979000,Payroll_Data_Analysis[[#This Row],[Annual KPI Bonus Reserve]]*0.302,2979000*0.302+(Payroll_Data_Analysis[[#This Row],[Annual KPI Bonus Reserve]]-2979000)*0.151)</f>
        <v>118124.28000000001</v>
      </c>
      <c r="O2" s="7">
        <f>dataset!$K2+dataset!$M2</f>
        <v>7591140</v>
      </c>
      <c r="P2" s="7">
        <f>Payroll_Data_Analysis[[#This Row],[Annual Salary + KPI Bonus]]/12/29.3*31</f>
        <v>669298.46416382247</v>
      </c>
      <c r="Q2" s="7">
        <f>IF(Payroll_Data_Analysis[[#This Row],[Vacation Reserve]]&lt;=2979000,Payroll_Data_Analysis[[#This Row],[Vacation Reserve]]*0.302,2979000*0.302+(Payroll_Data_Analysis[[#This Row],[Vacation Reserve]]-2979000)*0.151)</f>
        <v>202128.13617747437</v>
      </c>
      <c r="R2" s="7">
        <f>Payroll_Data_Analysis[[#This Row],[Monthly Salary]]*11</f>
        <v>6600000</v>
      </c>
      <c r="S2" s="7">
        <f>IF(Payroll_Data_Analysis[[#This Row],[11-Month Salary]]&lt;=2979000,Payroll_Data_Analysis[[#This Row],[11-Month Salary]]*0.302,2979000*0.302+(Payroll_Data_Analysis[[#This Row],[11-Month Salary]]-2979000)*0.151)</f>
        <v>1446429</v>
      </c>
      <c r="T2" s="7">
        <f>IF(Payroll_Data_Analysis[[#This Row],[Base Salary (Monthly)]]&gt;=200000,69507,IF(Payroll_Data_Analysis[[#This Row],[Base Salary (Monthly)]]&gt;=145000,52684,35103))</f>
        <v>69507</v>
      </c>
      <c r="U2" s="7">
        <f>Payroll_Data_Analysis[[#This Row],[Annual KPI Bonus Reserve]]+Payroll_Data_Analysis[[#This Row],[Vacation Reserve]]+Payroll_Data_Analysis[[#This Row],[11-Month Salary]]</f>
        <v>7660438.4641638231</v>
      </c>
      <c r="V2" s="7">
        <f>Payroll_Data_Analysis[[#This Row],[Payroll Taxes (KPI Bonus)]]+Payroll_Data_Analysis[[#This Row],[Payroll Taxes (Vacation)]]+Payroll_Data_Analysis[[#This Row],[Payroll Taxes (Salary)]]</f>
        <v>1766681.4161774744</v>
      </c>
      <c r="W2" s="13">
        <f>Payroll_Data_Analysis[[#This Row],[Total Payroll]]+Payroll_Data_Analysis[[#This Row],[Total Payroll Taxes]]</f>
        <v>9427119.880341297</v>
      </c>
    </row>
    <row r="3" spans="1:23" ht="23.25" customHeight="1">
      <c r="A3" s="11" t="s">
        <v>645</v>
      </c>
      <c r="B3" s="5" t="s">
        <v>6</v>
      </c>
      <c r="C3" s="5" t="s">
        <v>698</v>
      </c>
      <c r="D3" s="28" t="str">
        <f>VLOOKUP(Payroll_Data_Analysis[[#This Row],[Position]],Position_Map!$A$2:$B$58,2,FALSE)</f>
        <v>Administration</v>
      </c>
      <c r="E3" s="6">
        <v>1</v>
      </c>
      <c r="F3" s="7">
        <v>231600</v>
      </c>
      <c r="G3" s="7">
        <v>145000</v>
      </c>
      <c r="H3" s="7"/>
      <c r="I3" s="7">
        <f>dataset!$F3-dataset!$J3-dataset!$G3-dataset!$H3</f>
        <v>75000</v>
      </c>
      <c r="J3" s="7">
        <f>dataset!$G3*0.08</f>
        <v>11600</v>
      </c>
      <c r="K3" s="7">
        <f>dataset!$F3*12</f>
        <v>2779200</v>
      </c>
      <c r="L3" s="12">
        <f>IF(dataset!$G3&gt;=200000,38%,IF(dataset!$G3&lt;=145000,12.3%,))</f>
        <v>0.12300000000000001</v>
      </c>
      <c r="M3" s="7">
        <f>dataset!$G3*L4*12</f>
        <v>214020</v>
      </c>
      <c r="N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" s="7">
        <f>dataset!$K3+dataset!$M3</f>
        <v>2993220</v>
      </c>
      <c r="P3" s="7">
        <f>Payroll_Data_Analysis[[#This Row],[Annual Salary + KPI Bonus]]/12/29.3*31</f>
        <v>263907.33788395906</v>
      </c>
      <c r="Q3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3" s="7">
        <f>Payroll_Data_Analysis[[#This Row],[Monthly Salary]]*11</f>
        <v>2547600</v>
      </c>
      <c r="S3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3" s="7">
        <f>IF(Payroll_Data_Analysis[[#This Row],[Base Salary (Monthly)]]&gt;=200000,69507,IF(Payroll_Data_Analysis[[#This Row],[Base Salary (Monthly)]]&gt;=145000,52684,35103))</f>
        <v>52684</v>
      </c>
      <c r="U3" s="7">
        <f>Payroll_Data_Analysis[[#This Row],[Annual KPI Bonus Reserve]]+Payroll_Data_Analysis[[#This Row],[Vacation Reserve]]+Payroll_Data_Analysis[[#This Row],[11-Month Salary]]</f>
        <v>3025527.3378839591</v>
      </c>
      <c r="V3" s="7">
        <f>Payroll_Data_Analysis[[#This Row],[Payroll Taxes (KPI Bonus)]]+Payroll_Data_Analysis[[#This Row],[Payroll Taxes (Vacation)]]+Payroll_Data_Analysis[[#This Row],[Payroll Taxes (Salary)]]</f>
        <v>913709.25604095554</v>
      </c>
      <c r="W3" s="13">
        <f>Payroll_Data_Analysis[[#This Row],[Total Payroll]]+Payroll_Data_Analysis[[#This Row],[Total Payroll Taxes]]</f>
        <v>3939236.5939249145</v>
      </c>
    </row>
    <row r="4" spans="1:23" ht="23.25" customHeight="1">
      <c r="A4" s="11" t="s">
        <v>645</v>
      </c>
      <c r="B4" s="5" t="s">
        <v>7</v>
      </c>
      <c r="C4" s="5" t="s">
        <v>699</v>
      </c>
      <c r="D4" s="28" t="str">
        <f>VLOOKUP(Payroll_Data_Analysis[[#This Row],[Position]],Position_Map!$A$2:$B$58,2,FALSE)</f>
        <v>Professional</v>
      </c>
      <c r="E4" s="6">
        <v>1</v>
      </c>
      <c r="F4" s="7">
        <v>288000</v>
      </c>
      <c r="G4" s="7">
        <v>145000</v>
      </c>
      <c r="H4" s="7"/>
      <c r="I4" s="7">
        <f>dataset!$F4-dataset!$J4-dataset!$G4-dataset!$H4</f>
        <v>131400</v>
      </c>
      <c r="J4" s="7">
        <f>dataset!$G4*0.08</f>
        <v>11600</v>
      </c>
      <c r="K4" s="7">
        <f>dataset!$F4*12</f>
        <v>3456000</v>
      </c>
      <c r="L4" s="12">
        <f>IF(dataset!$G4&gt;=200000,38%,IF(dataset!$G4&lt;=145000,12.3%,))</f>
        <v>0.12300000000000001</v>
      </c>
      <c r="M4" s="7">
        <f>dataset!$G4*L5*12</f>
        <v>214020</v>
      </c>
      <c r="N4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4" s="7">
        <f>dataset!$K4+dataset!$M4</f>
        <v>3670020</v>
      </c>
      <c r="P4" s="7">
        <f>Payroll_Data_Analysis[[#This Row],[Annual Salary + KPI Bonus]]/12/29.3*31</f>
        <v>323579.69283276447</v>
      </c>
      <c r="Q4" s="7">
        <f>IF(Payroll_Data_Analysis[[#This Row],[Vacation Reserve]]&lt;=2979000,Payroll_Data_Analysis[[#This Row],[Vacation Reserve]]*0.302,2979000*0.302+(Payroll_Data_Analysis[[#This Row],[Vacation Reserve]]-2979000)*0.151)</f>
        <v>97721.067235494862</v>
      </c>
      <c r="R4" s="7">
        <f>Payroll_Data_Analysis[[#This Row],[Monthly Salary]]*11</f>
        <v>3168000</v>
      </c>
      <c r="S4" s="7">
        <f>IF(Payroll_Data_Analysis[[#This Row],[11-Month Salary]]&lt;=2979000,Payroll_Data_Analysis[[#This Row],[11-Month Salary]]*0.302,2979000*0.302+(Payroll_Data_Analysis[[#This Row],[11-Month Salary]]-2979000)*0.151)</f>
        <v>928197</v>
      </c>
      <c r="T4" s="7">
        <f>IF(Payroll_Data_Analysis[[#This Row],[Base Salary (Monthly)]]&gt;=200000,69507,IF(Payroll_Data_Analysis[[#This Row],[Base Salary (Monthly)]]&gt;=145000,52684,35103))</f>
        <v>52684</v>
      </c>
      <c r="U4" s="7">
        <f>Payroll_Data_Analysis[[#This Row],[Annual KPI Bonus Reserve]]+Payroll_Data_Analysis[[#This Row],[Vacation Reserve]]+Payroll_Data_Analysis[[#This Row],[11-Month Salary]]</f>
        <v>3705599.6928327642</v>
      </c>
      <c r="V4" s="7">
        <f>Payroll_Data_Analysis[[#This Row],[Payroll Taxes (KPI Bonus)]]+Payroll_Data_Analysis[[#This Row],[Payroll Taxes (Vacation)]]+Payroll_Data_Analysis[[#This Row],[Payroll Taxes (Salary)]]</f>
        <v>1090552.1072354948</v>
      </c>
      <c r="W4" s="13">
        <f>Payroll_Data_Analysis[[#This Row],[Total Payroll]]+Payroll_Data_Analysis[[#This Row],[Total Payroll Taxes]]</f>
        <v>4796151.8000682592</v>
      </c>
    </row>
    <row r="5" spans="1:23" ht="23.25" customHeight="1">
      <c r="A5" s="11" t="s">
        <v>645</v>
      </c>
      <c r="B5" s="5" t="s">
        <v>8</v>
      </c>
      <c r="C5" s="5" t="s">
        <v>699</v>
      </c>
      <c r="D5" s="28" t="str">
        <f>VLOOKUP(Payroll_Data_Analysis[[#This Row],[Position]],Position_Map!$A$2:$B$58,2,FALSE)</f>
        <v>Professional</v>
      </c>
      <c r="E5" s="6">
        <v>1</v>
      </c>
      <c r="F5" s="7">
        <v>120000</v>
      </c>
      <c r="G5" s="7">
        <v>100000</v>
      </c>
      <c r="H5" s="7"/>
      <c r="I5" s="7">
        <f>dataset!$F5-dataset!$J5-dataset!$G5-dataset!$H5</f>
        <v>12000</v>
      </c>
      <c r="J5" s="7">
        <f>dataset!$G5*0.08</f>
        <v>8000</v>
      </c>
      <c r="K5" s="7">
        <f>dataset!$F5*12</f>
        <v>1440000</v>
      </c>
      <c r="L5" s="12">
        <f>IF(dataset!$G5&gt;=200000,38%,IF(dataset!$G5&lt;=145000,12.3%,))</f>
        <v>0.12300000000000001</v>
      </c>
      <c r="M5" s="7">
        <f>dataset!$G5*L6*12</f>
        <v>456000</v>
      </c>
      <c r="N5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5" s="7">
        <f>dataset!$K5+dataset!$M5</f>
        <v>1896000</v>
      </c>
      <c r="P5" s="7">
        <f>Payroll_Data_Analysis[[#This Row],[Annual Salary + KPI Bonus]]/12/29.3*31</f>
        <v>167167.23549488053</v>
      </c>
      <c r="Q5" s="7">
        <f>IF(Payroll_Data_Analysis[[#This Row],[Vacation Reserve]]&lt;=2979000,Payroll_Data_Analysis[[#This Row],[Vacation Reserve]]*0.302,2979000*0.302+(Payroll_Data_Analysis[[#This Row],[Vacation Reserve]]-2979000)*0.151)</f>
        <v>50484.505119453919</v>
      </c>
      <c r="R5" s="7">
        <f>Payroll_Data_Analysis[[#This Row],[Monthly Salary]]*11</f>
        <v>1320000</v>
      </c>
      <c r="S5" s="7">
        <f>IF(Payroll_Data_Analysis[[#This Row],[11-Month Salary]]&lt;=2979000,Payroll_Data_Analysis[[#This Row],[11-Month Salary]]*0.302,2979000*0.302+(Payroll_Data_Analysis[[#This Row],[11-Month Salary]]-2979000)*0.151)</f>
        <v>398640</v>
      </c>
      <c r="T5" s="7">
        <f>IF(Payroll_Data_Analysis[[#This Row],[Base Salary (Monthly)]]&gt;=200000,69507,IF(Payroll_Data_Analysis[[#This Row],[Base Salary (Monthly)]]&gt;=145000,52684,35103))</f>
        <v>35103</v>
      </c>
      <c r="U5" s="7">
        <f>Payroll_Data_Analysis[[#This Row],[Annual KPI Bonus Reserve]]+Payroll_Data_Analysis[[#This Row],[Vacation Reserve]]+Payroll_Data_Analysis[[#This Row],[11-Month Salary]]</f>
        <v>1943167.2354948805</v>
      </c>
      <c r="V5" s="7">
        <f>Payroll_Data_Analysis[[#This Row],[Payroll Taxes (KPI Bonus)]]+Payroll_Data_Analysis[[#This Row],[Payroll Taxes (Vacation)]]+Payroll_Data_Analysis[[#This Row],[Payroll Taxes (Salary)]]</f>
        <v>586836.50511945388</v>
      </c>
      <c r="W5" s="13">
        <f>Payroll_Data_Analysis[[#This Row],[Total Payroll]]+Payroll_Data_Analysis[[#This Row],[Total Payroll Taxes]]</f>
        <v>2530003.7406143341</v>
      </c>
    </row>
    <row r="6" spans="1:23">
      <c r="A6" s="11" t="s">
        <v>645</v>
      </c>
      <c r="B6" s="5" t="s">
        <v>9</v>
      </c>
      <c r="C6" s="5" t="s">
        <v>700</v>
      </c>
      <c r="D6" s="28" t="str">
        <f>VLOOKUP(Payroll_Data_Analysis[[#This Row],[Position]],Position_Map!$A$2:$B$58,2,FALSE)</f>
        <v>Executive</v>
      </c>
      <c r="E6" s="6">
        <v>1</v>
      </c>
      <c r="F6" s="7">
        <v>396000</v>
      </c>
      <c r="G6" s="7">
        <v>200000</v>
      </c>
      <c r="H6" s="7"/>
      <c r="I6" s="7">
        <f>dataset!$F6-dataset!$J6-dataset!$G6-dataset!$H6</f>
        <v>180000</v>
      </c>
      <c r="J6" s="7">
        <f>dataset!$G6*0.08</f>
        <v>16000</v>
      </c>
      <c r="K6" s="7">
        <f>dataset!$F6*12</f>
        <v>4752000</v>
      </c>
      <c r="L6" s="12">
        <f>IF(dataset!$G6&gt;=200000,38%,IF(dataset!$G6&lt;=145000,12.3%,))</f>
        <v>0.38</v>
      </c>
      <c r="M6" s="7">
        <f>dataset!$G6*L7*12</f>
        <v>912000</v>
      </c>
      <c r="N6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6" s="7">
        <f>dataset!$K6+dataset!$M6</f>
        <v>5664000</v>
      </c>
      <c r="P6" s="7">
        <f>Payroll_Data_Analysis[[#This Row],[Annual Salary + KPI Bonus]]/12/29.3*31</f>
        <v>499385.66552901024</v>
      </c>
      <c r="Q6" s="7">
        <f>IF(Payroll_Data_Analysis[[#This Row],[Vacation Reserve]]&lt;=2979000,Payroll_Data_Analysis[[#This Row],[Vacation Reserve]]*0.302,2979000*0.302+(Payroll_Data_Analysis[[#This Row],[Vacation Reserve]]-2979000)*0.151)</f>
        <v>150814.47098976109</v>
      </c>
      <c r="R6" s="7">
        <f>Payroll_Data_Analysis[[#This Row],[Monthly Salary]]*11</f>
        <v>4356000</v>
      </c>
      <c r="S6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6" s="7">
        <f>IF(Payroll_Data_Analysis[[#This Row],[Base Salary (Monthly)]]&gt;=200000,69507,IF(Payroll_Data_Analysis[[#This Row],[Base Salary (Monthly)]]&gt;=145000,52684,35103))</f>
        <v>69507</v>
      </c>
      <c r="U6" s="7">
        <f>Payroll_Data_Analysis[[#This Row],[Annual KPI Bonus Reserve]]+Payroll_Data_Analysis[[#This Row],[Vacation Reserve]]+Payroll_Data_Analysis[[#This Row],[11-Month Salary]]</f>
        <v>5767385.6655290108</v>
      </c>
      <c r="V6" s="7">
        <f>Payroll_Data_Analysis[[#This Row],[Payroll Taxes (KPI Bonus)]]+Payroll_Data_Analysis[[#This Row],[Payroll Taxes (Vacation)]]+Payroll_Data_Analysis[[#This Row],[Payroll Taxes (Salary)]]</f>
        <v>1533823.4709897609</v>
      </c>
      <c r="W6" s="13">
        <f>Payroll_Data_Analysis[[#This Row],[Total Payroll]]+Payroll_Data_Analysis[[#This Row],[Total Payroll Taxes]]</f>
        <v>7301209.1365187718</v>
      </c>
    </row>
    <row r="7" spans="1:23">
      <c r="A7" s="11" t="s">
        <v>645</v>
      </c>
      <c r="B7" s="5" t="s">
        <v>10</v>
      </c>
      <c r="C7" s="5" t="s">
        <v>701</v>
      </c>
      <c r="D7" s="28" t="str">
        <f>VLOOKUP(Payroll_Data_Analysis[[#This Row],[Position]],Position_Map!$A$2:$B$58,2,FALSE)</f>
        <v>Professional</v>
      </c>
      <c r="E7" s="6">
        <v>1</v>
      </c>
      <c r="F7" s="7">
        <v>336000</v>
      </c>
      <c r="G7" s="7">
        <v>200000</v>
      </c>
      <c r="H7" s="7"/>
      <c r="I7" s="7">
        <f>dataset!$F7-dataset!$J7-dataset!$G7-dataset!$H7</f>
        <v>120000</v>
      </c>
      <c r="J7" s="7">
        <f>dataset!$G7*0.08</f>
        <v>16000</v>
      </c>
      <c r="K7" s="7">
        <f>dataset!$F7*12</f>
        <v>4032000</v>
      </c>
      <c r="L7" s="12">
        <f>IF(dataset!$G7&gt;=200000,38%,IF(dataset!$G7&lt;=145000,12.3%,))</f>
        <v>0.38</v>
      </c>
      <c r="M7" s="7">
        <f>dataset!$G7*L8*12</f>
        <v>295200.00000000006</v>
      </c>
      <c r="N7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7" s="7">
        <f>dataset!$K7+dataset!$M7</f>
        <v>4327200</v>
      </c>
      <c r="P7" s="7">
        <f>Payroll_Data_Analysis[[#This Row],[Annual Salary + KPI Bonus]]/12/29.3*31</f>
        <v>381522.18430034129</v>
      </c>
      <c r="Q7" s="7">
        <f>IF(Payroll_Data_Analysis[[#This Row],[Vacation Reserve]]&lt;=2979000,Payroll_Data_Analysis[[#This Row],[Vacation Reserve]]*0.302,2979000*0.302+(Payroll_Data_Analysis[[#This Row],[Vacation Reserve]]-2979000)*0.151)</f>
        <v>115219.69965870307</v>
      </c>
      <c r="R7" s="7">
        <f>Payroll_Data_Analysis[[#This Row],[Monthly Salary]]*11</f>
        <v>3696000</v>
      </c>
      <c r="S7" s="7">
        <f>IF(Payroll_Data_Analysis[[#This Row],[11-Month Salary]]&lt;=2979000,Payroll_Data_Analysis[[#This Row],[11-Month Salary]]*0.302,2979000*0.302+(Payroll_Data_Analysis[[#This Row],[11-Month Salary]]-2979000)*0.151)</f>
        <v>1007925</v>
      </c>
      <c r="T7" s="7">
        <f>IF(Payroll_Data_Analysis[[#This Row],[Base Salary (Monthly)]]&gt;=200000,69507,IF(Payroll_Data_Analysis[[#This Row],[Base Salary (Monthly)]]&gt;=145000,52684,35103))</f>
        <v>69507</v>
      </c>
      <c r="U7" s="7">
        <f>Payroll_Data_Analysis[[#This Row],[Annual KPI Bonus Reserve]]+Payroll_Data_Analysis[[#This Row],[Vacation Reserve]]+Payroll_Data_Analysis[[#This Row],[11-Month Salary]]</f>
        <v>4372722.1843003416</v>
      </c>
      <c r="V7" s="7">
        <f>Payroll_Data_Analysis[[#This Row],[Payroll Taxes (KPI Bonus)]]+Payroll_Data_Analysis[[#This Row],[Payroll Taxes (Vacation)]]+Payroll_Data_Analysis[[#This Row],[Payroll Taxes (Salary)]]</f>
        <v>1212295.099658703</v>
      </c>
      <c r="W7" s="13">
        <f>Payroll_Data_Analysis[[#This Row],[Total Payroll]]+Payroll_Data_Analysis[[#This Row],[Total Payroll Taxes]]</f>
        <v>5585017.2839590441</v>
      </c>
    </row>
    <row r="8" spans="1:23">
      <c r="A8" s="11" t="s">
        <v>645</v>
      </c>
      <c r="B8" s="5" t="s">
        <v>11</v>
      </c>
      <c r="C8" s="5" t="s">
        <v>702</v>
      </c>
      <c r="D8" s="28" t="str">
        <f>VLOOKUP(Payroll_Data_Analysis[[#This Row],[Position]],Position_Map!$A$2:$B$58,2,FALSE)</f>
        <v>Administration</v>
      </c>
      <c r="E8" s="6">
        <v>1</v>
      </c>
      <c r="F8" s="7">
        <v>281000</v>
      </c>
      <c r="G8" s="7">
        <v>145000</v>
      </c>
      <c r="H8" s="7"/>
      <c r="I8" s="7">
        <f>dataset!$F8-dataset!$J8-dataset!$G8-dataset!$H8</f>
        <v>124400</v>
      </c>
      <c r="J8" s="7">
        <f>dataset!$G8*0.08</f>
        <v>11600</v>
      </c>
      <c r="K8" s="7">
        <f>dataset!$F8*12</f>
        <v>3372000</v>
      </c>
      <c r="L8" s="12">
        <f>IF(dataset!$G8&gt;=200000,38%,IF(dataset!$G8&lt;=145000,12.3%,))</f>
        <v>0.12300000000000001</v>
      </c>
      <c r="M8" s="7">
        <f>dataset!$G8*L9*12</f>
        <v>214020</v>
      </c>
      <c r="N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" s="7">
        <f>dataset!$K8+dataset!$M8</f>
        <v>3586020</v>
      </c>
      <c r="P8" s="7">
        <f>Payroll_Data_Analysis[[#This Row],[Annual Salary + KPI Bonus]]/12/29.3*31</f>
        <v>316173.54948805459</v>
      </c>
      <c r="Q8" s="7">
        <f>IF(Payroll_Data_Analysis[[#This Row],[Vacation Reserve]]&lt;=2979000,Payroll_Data_Analysis[[#This Row],[Vacation Reserve]]*0.302,2979000*0.302+(Payroll_Data_Analysis[[#This Row],[Vacation Reserve]]-2979000)*0.151)</f>
        <v>95484.41194539248</v>
      </c>
      <c r="R8" s="7">
        <f>Payroll_Data_Analysis[[#This Row],[Monthly Salary]]*11</f>
        <v>3091000</v>
      </c>
      <c r="S8" s="7">
        <f>IF(Payroll_Data_Analysis[[#This Row],[11-Month Salary]]&lt;=2979000,Payroll_Data_Analysis[[#This Row],[11-Month Salary]]*0.302,2979000*0.302+(Payroll_Data_Analysis[[#This Row],[11-Month Salary]]-2979000)*0.151)</f>
        <v>916570</v>
      </c>
      <c r="T8" s="7">
        <f>IF(Payroll_Data_Analysis[[#This Row],[Base Salary (Monthly)]]&gt;=200000,69507,IF(Payroll_Data_Analysis[[#This Row],[Base Salary (Monthly)]]&gt;=145000,52684,35103))</f>
        <v>52684</v>
      </c>
      <c r="U8" s="7">
        <f>Payroll_Data_Analysis[[#This Row],[Annual KPI Bonus Reserve]]+Payroll_Data_Analysis[[#This Row],[Vacation Reserve]]+Payroll_Data_Analysis[[#This Row],[11-Month Salary]]</f>
        <v>3621193.5494880546</v>
      </c>
      <c r="V8" s="7">
        <f>Payroll_Data_Analysis[[#This Row],[Payroll Taxes (KPI Bonus)]]+Payroll_Data_Analysis[[#This Row],[Payroll Taxes (Vacation)]]+Payroll_Data_Analysis[[#This Row],[Payroll Taxes (Salary)]]</f>
        <v>1076688.4519453924</v>
      </c>
      <c r="W8" s="13">
        <f>Payroll_Data_Analysis[[#This Row],[Total Payroll]]+Payroll_Data_Analysis[[#This Row],[Total Payroll Taxes]]</f>
        <v>4697882.001433447</v>
      </c>
    </row>
    <row r="9" spans="1:23">
      <c r="A9" s="11" t="s">
        <v>645</v>
      </c>
      <c r="B9" s="5" t="s">
        <v>12</v>
      </c>
      <c r="C9" s="5" t="s">
        <v>698</v>
      </c>
      <c r="D9" s="28" t="str">
        <f>VLOOKUP(Payroll_Data_Analysis[[#This Row],[Position]],Position_Map!$A$2:$B$58,2,FALSE)</f>
        <v>Administration</v>
      </c>
      <c r="E9" s="6">
        <v>1</v>
      </c>
      <c r="F9" s="7">
        <v>231600</v>
      </c>
      <c r="G9" s="7">
        <v>145000</v>
      </c>
      <c r="H9" s="7"/>
      <c r="I9" s="7">
        <f>dataset!$F9-dataset!$J9-dataset!$G9-dataset!$H9</f>
        <v>75000</v>
      </c>
      <c r="J9" s="7">
        <f>dataset!$G9*0.08</f>
        <v>11600</v>
      </c>
      <c r="K9" s="7">
        <f>dataset!$F9*12</f>
        <v>2779200</v>
      </c>
      <c r="L9" s="12">
        <f>IF(dataset!$G9&gt;=200000,38%,IF(dataset!$G9&lt;=145000,12.3%,))</f>
        <v>0.12300000000000001</v>
      </c>
      <c r="M9" s="7">
        <f>dataset!$G9*L10*12</f>
        <v>214020</v>
      </c>
      <c r="N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9" s="7">
        <f>dataset!$K9+dataset!$M9</f>
        <v>2993220</v>
      </c>
      <c r="P9" s="7">
        <f>Payroll_Data_Analysis[[#This Row],[Annual Salary + KPI Bonus]]/12/29.3*31</f>
        <v>263907.33788395906</v>
      </c>
      <c r="Q9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9" s="7">
        <f>Payroll_Data_Analysis[[#This Row],[Monthly Salary]]*11</f>
        <v>2547600</v>
      </c>
      <c r="S9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9" s="7">
        <f>IF(Payroll_Data_Analysis[[#This Row],[Base Salary (Monthly)]]&gt;=200000,69507,IF(Payroll_Data_Analysis[[#This Row],[Base Salary (Monthly)]]&gt;=145000,52684,35103))</f>
        <v>52684</v>
      </c>
      <c r="U9" s="7">
        <f>Payroll_Data_Analysis[[#This Row],[Annual KPI Bonus Reserve]]+Payroll_Data_Analysis[[#This Row],[Vacation Reserve]]+Payroll_Data_Analysis[[#This Row],[11-Month Salary]]</f>
        <v>3025527.3378839591</v>
      </c>
      <c r="V9" s="7">
        <f>Payroll_Data_Analysis[[#This Row],[Payroll Taxes (KPI Bonus)]]+Payroll_Data_Analysis[[#This Row],[Payroll Taxes (Vacation)]]+Payroll_Data_Analysis[[#This Row],[Payroll Taxes (Salary)]]</f>
        <v>913709.25604095554</v>
      </c>
      <c r="W9" s="13">
        <f>Payroll_Data_Analysis[[#This Row],[Total Payroll]]+Payroll_Data_Analysis[[#This Row],[Total Payroll Taxes]]</f>
        <v>3939236.5939249145</v>
      </c>
    </row>
    <row r="10" spans="1:23">
      <c r="A10" s="11" t="s">
        <v>646</v>
      </c>
      <c r="B10" s="5" t="s">
        <v>13</v>
      </c>
      <c r="C10" s="5" t="s">
        <v>703</v>
      </c>
      <c r="D10" s="28" t="str">
        <f>VLOOKUP(Payroll_Data_Analysis[[#This Row],[Position]],Position_Map!$A$2:$B$58,2,FALSE)</f>
        <v>Management</v>
      </c>
      <c r="E10" s="6">
        <v>1</v>
      </c>
      <c r="F10" s="7">
        <v>286000</v>
      </c>
      <c r="G10" s="7">
        <v>145000</v>
      </c>
      <c r="H10" s="7"/>
      <c r="I10" s="7">
        <f>dataset!$F10-dataset!$J10-dataset!$G10-dataset!$H10</f>
        <v>129400</v>
      </c>
      <c r="J10" s="7">
        <f>dataset!$G10*0.08</f>
        <v>11600</v>
      </c>
      <c r="K10" s="7">
        <f>dataset!$F10*12</f>
        <v>3432000</v>
      </c>
      <c r="L10" s="12">
        <f>IF(dataset!$G10&gt;=200000,38%,IF(dataset!$G10&lt;=145000,12.3%,))</f>
        <v>0.12300000000000001</v>
      </c>
      <c r="M10" s="7">
        <f>dataset!$G10*L11*12</f>
        <v>214020</v>
      </c>
      <c r="N1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0" s="7">
        <f>dataset!$K10+dataset!$M10</f>
        <v>3646020</v>
      </c>
      <c r="P10" s="7">
        <f>Payroll_Data_Analysis[[#This Row],[Annual Salary + KPI Bonus]]/12/29.3*31</f>
        <v>321463.65187713312</v>
      </c>
      <c r="Q10" s="7">
        <f>IF(Payroll_Data_Analysis[[#This Row],[Vacation Reserve]]&lt;=2979000,Payroll_Data_Analysis[[#This Row],[Vacation Reserve]]*0.302,2979000*0.302+(Payroll_Data_Analysis[[#This Row],[Vacation Reserve]]-2979000)*0.151)</f>
        <v>97082.0228668942</v>
      </c>
      <c r="R10" s="7">
        <f>Payroll_Data_Analysis[[#This Row],[Monthly Salary]]*11</f>
        <v>3146000</v>
      </c>
      <c r="S10" s="7">
        <f>IF(Payroll_Data_Analysis[[#This Row],[11-Month Salary]]&lt;=2979000,Payroll_Data_Analysis[[#This Row],[11-Month Salary]]*0.302,2979000*0.302+(Payroll_Data_Analysis[[#This Row],[11-Month Salary]]-2979000)*0.151)</f>
        <v>924875</v>
      </c>
      <c r="T10" s="7">
        <f>IF(Payroll_Data_Analysis[[#This Row],[Base Salary (Monthly)]]&gt;=200000,69507,IF(Payroll_Data_Analysis[[#This Row],[Base Salary (Monthly)]]&gt;=145000,52684,35103))</f>
        <v>52684</v>
      </c>
      <c r="U10" s="7">
        <f>Payroll_Data_Analysis[[#This Row],[Annual KPI Bonus Reserve]]+Payroll_Data_Analysis[[#This Row],[Vacation Reserve]]+Payroll_Data_Analysis[[#This Row],[11-Month Salary]]</f>
        <v>3681483.6518771332</v>
      </c>
      <c r="V10" s="7">
        <f>Payroll_Data_Analysis[[#This Row],[Payroll Taxes (KPI Bonus)]]+Payroll_Data_Analysis[[#This Row],[Payroll Taxes (Vacation)]]+Payroll_Data_Analysis[[#This Row],[Payroll Taxes (Salary)]]</f>
        <v>1086591.0628668943</v>
      </c>
      <c r="W10" s="13">
        <f>Payroll_Data_Analysis[[#This Row],[Total Payroll]]+Payroll_Data_Analysis[[#This Row],[Total Payroll Taxes]]</f>
        <v>4768074.7147440277</v>
      </c>
    </row>
    <row r="11" spans="1:23">
      <c r="A11" s="11" t="s">
        <v>646</v>
      </c>
      <c r="B11" s="5" t="s">
        <v>14</v>
      </c>
      <c r="C11" s="5" t="s">
        <v>704</v>
      </c>
      <c r="D11" s="28" t="str">
        <f>VLOOKUP(Payroll_Data_Analysis[[#This Row],[Position]],Position_Map!$A$2:$B$58,2,FALSE)</f>
        <v>Management</v>
      </c>
      <c r="E11" s="6">
        <v>1</v>
      </c>
      <c r="F11" s="7">
        <v>186600</v>
      </c>
      <c r="G11" s="7">
        <v>145000</v>
      </c>
      <c r="H11" s="7"/>
      <c r="I11" s="7">
        <f>dataset!$F11-dataset!$J11-dataset!$G11-dataset!$H11</f>
        <v>30000</v>
      </c>
      <c r="J11" s="7">
        <f>dataset!$G11*0.08</f>
        <v>11600</v>
      </c>
      <c r="K11" s="7">
        <f>dataset!$F11*12</f>
        <v>2239200</v>
      </c>
      <c r="L11" s="12">
        <f>IF(dataset!$G11&gt;=200000,38%,IF(dataset!$G11&lt;=145000,12.3%,))</f>
        <v>0.12300000000000001</v>
      </c>
      <c r="M11" s="7">
        <f>dataset!$G11*L12*12</f>
        <v>214020</v>
      </c>
      <c r="N1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1" s="7">
        <f>dataset!$K11+dataset!$M11</f>
        <v>2453220</v>
      </c>
      <c r="P11" s="7">
        <f>Payroll_Data_Analysis[[#This Row],[Annual Salary + KPI Bonus]]/12/29.3*31</f>
        <v>216296.41638225256</v>
      </c>
      <c r="Q11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11" s="7">
        <f>Payroll_Data_Analysis[[#This Row],[Monthly Salary]]*11</f>
        <v>2052600</v>
      </c>
      <c r="S11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11" s="7">
        <f>IF(Payroll_Data_Analysis[[#This Row],[Base Salary (Monthly)]]&gt;=200000,69507,IF(Payroll_Data_Analysis[[#This Row],[Base Salary (Monthly)]]&gt;=145000,52684,35103))</f>
        <v>52684</v>
      </c>
      <c r="U11" s="7">
        <f>Payroll_Data_Analysis[[#This Row],[Annual KPI Bonus Reserve]]+Payroll_Data_Analysis[[#This Row],[Vacation Reserve]]+Payroll_Data_Analysis[[#This Row],[11-Month Salary]]</f>
        <v>2482916.4163822527</v>
      </c>
      <c r="V11" s="7">
        <f>Payroll_Data_Analysis[[#This Row],[Payroll Taxes (KPI Bonus)]]+Payroll_Data_Analysis[[#This Row],[Payroll Taxes (Vacation)]]+Payroll_Data_Analysis[[#This Row],[Payroll Taxes (Salary)]]</f>
        <v>749840.75774744025</v>
      </c>
      <c r="W11" s="13">
        <f>Payroll_Data_Analysis[[#This Row],[Total Payroll]]+Payroll_Data_Analysis[[#This Row],[Total Payroll Taxes]]</f>
        <v>3232757.1741296928</v>
      </c>
    </row>
    <row r="12" spans="1:23">
      <c r="A12" s="11" t="s">
        <v>646</v>
      </c>
      <c r="B12" s="5" t="s">
        <v>15</v>
      </c>
      <c r="C12" s="5" t="s">
        <v>704</v>
      </c>
      <c r="D12" s="28" t="str">
        <f>VLOOKUP(Payroll_Data_Analysis[[#This Row],[Position]],Position_Map!$A$2:$B$58,2,FALSE)</f>
        <v>Management</v>
      </c>
      <c r="E12" s="6">
        <v>1</v>
      </c>
      <c r="F12" s="7">
        <v>158000</v>
      </c>
      <c r="G12" s="7">
        <v>100000</v>
      </c>
      <c r="H12" s="7"/>
      <c r="I12" s="7">
        <f>dataset!$F12-dataset!$J12-dataset!$G12-dataset!$H12</f>
        <v>50000</v>
      </c>
      <c r="J12" s="7">
        <f>dataset!$G12*0.08</f>
        <v>8000</v>
      </c>
      <c r="K12" s="7">
        <f>dataset!$F12*12</f>
        <v>1896000</v>
      </c>
      <c r="L12" s="12">
        <f>IF(dataset!$G12&gt;=200000,38%,IF(dataset!$G12&lt;=145000,12.3%,))</f>
        <v>0.12300000000000001</v>
      </c>
      <c r="M12" s="7">
        <f>dataset!$G12*L13*12</f>
        <v>147600.00000000003</v>
      </c>
      <c r="N1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2" s="7">
        <f>dataset!$K12+dataset!$M12</f>
        <v>2043600</v>
      </c>
      <c r="P12" s="7">
        <f>Payroll_Data_Analysis[[#This Row],[Annual Salary + KPI Bonus]]/12/29.3*31</f>
        <v>180180.88737201365</v>
      </c>
      <c r="Q12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12" s="7">
        <f>Payroll_Data_Analysis[[#This Row],[Monthly Salary]]*11</f>
        <v>1738000</v>
      </c>
      <c r="S12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12" s="7">
        <f>IF(Payroll_Data_Analysis[[#This Row],[Base Salary (Monthly)]]&gt;=200000,69507,IF(Payroll_Data_Analysis[[#This Row],[Base Salary (Monthly)]]&gt;=145000,52684,35103))</f>
        <v>35103</v>
      </c>
      <c r="U12" s="7">
        <f>Payroll_Data_Analysis[[#This Row],[Annual KPI Bonus Reserve]]+Payroll_Data_Analysis[[#This Row],[Vacation Reserve]]+Payroll_Data_Analysis[[#This Row],[11-Month Salary]]</f>
        <v>2065780.8873720136</v>
      </c>
      <c r="V12" s="7">
        <f>Payroll_Data_Analysis[[#This Row],[Payroll Taxes (KPI Bonus)]]+Payroll_Data_Analysis[[#This Row],[Payroll Taxes (Vacation)]]+Payroll_Data_Analysis[[#This Row],[Payroll Taxes (Salary)]]</f>
        <v>623865.82798634819</v>
      </c>
      <c r="W12" s="13">
        <f>Payroll_Data_Analysis[[#This Row],[Total Payroll]]+Payroll_Data_Analysis[[#This Row],[Total Payroll Taxes]]</f>
        <v>2689646.7153583616</v>
      </c>
    </row>
    <row r="13" spans="1:23">
      <c r="A13" s="11" t="s">
        <v>646</v>
      </c>
      <c r="B13" s="5" t="s">
        <v>16</v>
      </c>
      <c r="C13" s="5" t="s">
        <v>705</v>
      </c>
      <c r="D13" s="28" t="str">
        <f>VLOOKUP(Payroll_Data_Analysis[[#This Row],[Position]],Position_Map!$A$2:$B$58,2,FALSE)</f>
        <v>Professional</v>
      </c>
      <c r="E13" s="6">
        <v>1</v>
      </c>
      <c r="F13" s="7">
        <v>94800</v>
      </c>
      <c r="G13" s="7">
        <v>60000</v>
      </c>
      <c r="H13" s="7"/>
      <c r="I13" s="7">
        <f>dataset!$F13-dataset!$J13-dataset!$G13-dataset!$H13</f>
        <v>30000</v>
      </c>
      <c r="J13" s="7">
        <f>dataset!$G13*0.08</f>
        <v>4800</v>
      </c>
      <c r="K13" s="7">
        <f>dataset!$F13*12</f>
        <v>1137600</v>
      </c>
      <c r="L13" s="12">
        <f>IF(dataset!$G13&gt;=200000,38%,IF(dataset!$G13&lt;=145000,12.3%,))</f>
        <v>0.12300000000000001</v>
      </c>
      <c r="M13" s="7">
        <f>dataset!$G13*L14*12</f>
        <v>88560.000000000015</v>
      </c>
      <c r="N1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3" s="7">
        <f>dataset!$K13+dataset!$M13</f>
        <v>1226160</v>
      </c>
      <c r="P13" s="7">
        <f>Payroll_Data_Analysis[[#This Row],[Annual Salary + KPI Bonus]]/12/29.3*31</f>
        <v>108108.53242320818</v>
      </c>
      <c r="Q13" s="7">
        <f>IF(Payroll_Data_Analysis[[#This Row],[Vacation Reserve]]&lt;=2979000,Payroll_Data_Analysis[[#This Row],[Vacation Reserve]]*0.302,2979000*0.302+(Payroll_Data_Analysis[[#This Row],[Vacation Reserve]]-2979000)*0.151)</f>
        <v>32648.776791808868</v>
      </c>
      <c r="R13" s="7">
        <f>Payroll_Data_Analysis[[#This Row],[Monthly Salary]]*11</f>
        <v>1042800</v>
      </c>
      <c r="S13" s="7">
        <f>IF(Payroll_Data_Analysis[[#This Row],[11-Month Salary]]&lt;=2979000,Payroll_Data_Analysis[[#This Row],[11-Month Salary]]*0.302,2979000*0.302+(Payroll_Data_Analysis[[#This Row],[11-Month Salary]]-2979000)*0.151)</f>
        <v>314925.59999999998</v>
      </c>
      <c r="T13" s="7">
        <f>IF(Payroll_Data_Analysis[[#This Row],[Base Salary (Monthly)]]&gt;=200000,69507,IF(Payroll_Data_Analysis[[#This Row],[Base Salary (Monthly)]]&gt;=145000,52684,35103))</f>
        <v>35103</v>
      </c>
      <c r="U13" s="7">
        <f>Payroll_Data_Analysis[[#This Row],[Annual KPI Bonus Reserve]]+Payroll_Data_Analysis[[#This Row],[Vacation Reserve]]+Payroll_Data_Analysis[[#This Row],[11-Month Salary]]</f>
        <v>1239468.5324232082</v>
      </c>
      <c r="V13" s="7">
        <f>Payroll_Data_Analysis[[#This Row],[Payroll Taxes (KPI Bonus)]]+Payroll_Data_Analysis[[#This Row],[Payroll Taxes (Vacation)]]+Payroll_Data_Analysis[[#This Row],[Payroll Taxes (Salary)]]</f>
        <v>374319.49679180887</v>
      </c>
      <c r="W13" s="13">
        <f>Payroll_Data_Analysis[[#This Row],[Total Payroll]]+Payroll_Data_Analysis[[#This Row],[Total Payroll Taxes]]</f>
        <v>1613788.0292150171</v>
      </c>
    </row>
    <row r="14" spans="1:23">
      <c r="A14" s="11" t="s">
        <v>646</v>
      </c>
      <c r="B14" s="5" t="s">
        <v>17</v>
      </c>
      <c r="C14" s="5" t="s">
        <v>705</v>
      </c>
      <c r="D14" s="28" t="str">
        <f>VLOOKUP(Payroll_Data_Analysis[[#This Row],[Position]],Position_Map!$A$2:$B$58,2,FALSE)</f>
        <v>Professional</v>
      </c>
      <c r="E14" s="6">
        <v>1</v>
      </c>
      <c r="F14" s="7">
        <v>74000</v>
      </c>
      <c r="G14" s="7">
        <v>50000</v>
      </c>
      <c r="H14" s="7"/>
      <c r="I14" s="7">
        <f>dataset!$F14-dataset!$J14-dataset!$G14-dataset!$H14</f>
        <v>20000</v>
      </c>
      <c r="J14" s="7">
        <f>dataset!$G14*0.08</f>
        <v>4000</v>
      </c>
      <c r="K14" s="7">
        <f>dataset!$F14*12</f>
        <v>888000</v>
      </c>
      <c r="L14" s="12">
        <f>IF(dataset!$G14&gt;=200000,38%,IF(dataset!$G14&lt;=145000,12.3%,))</f>
        <v>0.12300000000000001</v>
      </c>
      <c r="M14" s="7">
        <f>dataset!$G14*L15*12</f>
        <v>73800.000000000015</v>
      </c>
      <c r="N14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4" s="7">
        <f>dataset!$K14+dataset!$M14</f>
        <v>961800</v>
      </c>
      <c r="P14" s="7">
        <f>Payroll_Data_Analysis[[#This Row],[Annual Salary + KPI Bonus]]/12/29.3*31</f>
        <v>84800.341296928324</v>
      </c>
      <c r="Q14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14" s="7">
        <f>Payroll_Data_Analysis[[#This Row],[Monthly Salary]]*11</f>
        <v>814000</v>
      </c>
      <c r="S14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4" s="7">
        <f>IF(Payroll_Data_Analysis[[#This Row],[Base Salary (Monthly)]]&gt;=200000,69507,IF(Payroll_Data_Analysis[[#This Row],[Base Salary (Monthly)]]&gt;=145000,52684,35103))</f>
        <v>35103</v>
      </c>
      <c r="U14" s="7">
        <f>Payroll_Data_Analysis[[#This Row],[Annual KPI Bonus Reserve]]+Payroll_Data_Analysis[[#This Row],[Vacation Reserve]]+Payroll_Data_Analysis[[#This Row],[11-Month Salary]]</f>
        <v>972600.34129692835</v>
      </c>
      <c r="V14" s="7">
        <f>Payroll_Data_Analysis[[#This Row],[Payroll Taxes (KPI Bonus)]]+Payroll_Data_Analysis[[#This Row],[Payroll Taxes (Vacation)]]+Payroll_Data_Analysis[[#This Row],[Payroll Taxes (Salary)]]</f>
        <v>293725.30307167233</v>
      </c>
      <c r="W14" s="13">
        <f>Payroll_Data_Analysis[[#This Row],[Total Payroll]]+Payroll_Data_Analysis[[#This Row],[Total Payroll Taxes]]</f>
        <v>1266325.6443686006</v>
      </c>
    </row>
    <row r="15" spans="1:23">
      <c r="A15" s="11" t="s">
        <v>646</v>
      </c>
      <c r="B15" s="5" t="s">
        <v>18</v>
      </c>
      <c r="C15" s="5" t="s">
        <v>705</v>
      </c>
      <c r="D15" s="28" t="str">
        <f>VLOOKUP(Payroll_Data_Analysis[[#This Row],[Position]],Position_Map!$A$2:$B$58,2,FALSE)</f>
        <v>Professional</v>
      </c>
      <c r="E15" s="6">
        <v>1</v>
      </c>
      <c r="F15" s="7">
        <v>120000</v>
      </c>
      <c r="G15" s="7">
        <v>100000</v>
      </c>
      <c r="H15" s="7"/>
      <c r="I15" s="7">
        <f>dataset!$F15-dataset!$J15-dataset!$G15-dataset!$H15</f>
        <v>12000</v>
      </c>
      <c r="J15" s="7">
        <f>dataset!$G15*0.08</f>
        <v>8000</v>
      </c>
      <c r="K15" s="7">
        <f>dataset!$F15*12</f>
        <v>1440000</v>
      </c>
      <c r="L15" s="12">
        <f>IF(dataset!$G15&gt;=200000,38%,IF(dataset!$G15&lt;=145000,12.3%,))</f>
        <v>0.12300000000000001</v>
      </c>
      <c r="M15" s="7">
        <f>dataset!$G15*L16*12</f>
        <v>456000</v>
      </c>
      <c r="N15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15" s="7">
        <f>dataset!$K15+dataset!$M15</f>
        <v>1896000</v>
      </c>
      <c r="P15" s="7">
        <f>Payroll_Data_Analysis[[#This Row],[Annual Salary + KPI Bonus]]/12/29.3*31</f>
        <v>167167.23549488053</v>
      </c>
      <c r="Q15" s="7">
        <f>IF(Payroll_Data_Analysis[[#This Row],[Vacation Reserve]]&lt;=2979000,Payroll_Data_Analysis[[#This Row],[Vacation Reserve]]*0.302,2979000*0.302+(Payroll_Data_Analysis[[#This Row],[Vacation Reserve]]-2979000)*0.151)</f>
        <v>50484.505119453919</v>
      </c>
      <c r="R15" s="7">
        <f>Payroll_Data_Analysis[[#This Row],[Monthly Salary]]*11</f>
        <v>1320000</v>
      </c>
      <c r="S15" s="7">
        <f>IF(Payroll_Data_Analysis[[#This Row],[11-Month Salary]]&lt;=2979000,Payroll_Data_Analysis[[#This Row],[11-Month Salary]]*0.302,2979000*0.302+(Payroll_Data_Analysis[[#This Row],[11-Month Salary]]-2979000)*0.151)</f>
        <v>398640</v>
      </c>
      <c r="T15" s="7">
        <f>IF(Payroll_Data_Analysis[[#This Row],[Base Salary (Monthly)]]&gt;=200000,69507,IF(Payroll_Data_Analysis[[#This Row],[Base Salary (Monthly)]]&gt;=145000,52684,35103))</f>
        <v>35103</v>
      </c>
      <c r="U15" s="7">
        <f>Payroll_Data_Analysis[[#This Row],[Annual KPI Bonus Reserve]]+Payroll_Data_Analysis[[#This Row],[Vacation Reserve]]+Payroll_Data_Analysis[[#This Row],[11-Month Salary]]</f>
        <v>1943167.2354948805</v>
      </c>
      <c r="V15" s="7">
        <f>Payroll_Data_Analysis[[#This Row],[Payroll Taxes (KPI Bonus)]]+Payroll_Data_Analysis[[#This Row],[Payroll Taxes (Vacation)]]+Payroll_Data_Analysis[[#This Row],[Payroll Taxes (Salary)]]</f>
        <v>586836.50511945388</v>
      </c>
      <c r="W15" s="13">
        <f>Payroll_Data_Analysis[[#This Row],[Total Payroll]]+Payroll_Data_Analysis[[#This Row],[Total Payroll Taxes]]</f>
        <v>2530003.7406143341</v>
      </c>
    </row>
    <row r="16" spans="1:23">
      <c r="A16" s="11" t="s">
        <v>647</v>
      </c>
      <c r="B16" s="5" t="s">
        <v>19</v>
      </c>
      <c r="C16" s="5" t="s">
        <v>706</v>
      </c>
      <c r="D16" s="28" t="str">
        <f>VLOOKUP(Payroll_Data_Analysis[[#This Row],[Position]],Position_Map!$A$2:$B$58,2,FALSE)</f>
        <v>Management</v>
      </c>
      <c r="E16" s="6">
        <v>1</v>
      </c>
      <c r="F16" s="7">
        <v>311000</v>
      </c>
      <c r="G16" s="7">
        <v>200000</v>
      </c>
      <c r="H16" s="7"/>
      <c r="I16" s="7">
        <f>dataset!$F16-dataset!$J16-dataset!$G16-dataset!$H16</f>
        <v>95000</v>
      </c>
      <c r="J16" s="7">
        <f>dataset!$G16*0.08</f>
        <v>16000</v>
      </c>
      <c r="K16" s="7">
        <f>dataset!$F16*12</f>
        <v>3732000</v>
      </c>
      <c r="L16" s="12">
        <f>IF(dataset!$G16&gt;=200000,38%,IF(dataset!$G16&lt;=145000,12.3%,))</f>
        <v>0.38</v>
      </c>
      <c r="M16" s="7">
        <f>dataset!$G16*L17*12</f>
        <v>912000</v>
      </c>
      <c r="N16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16" s="7">
        <f>dataset!$K16+dataset!$M16</f>
        <v>4644000</v>
      </c>
      <c r="P16" s="7">
        <f>Payroll_Data_Analysis[[#This Row],[Annual Salary + KPI Bonus]]/12/29.3*31</f>
        <v>409453.92491467576</v>
      </c>
      <c r="Q16" s="7">
        <f>IF(Payroll_Data_Analysis[[#This Row],[Vacation Reserve]]&lt;=2979000,Payroll_Data_Analysis[[#This Row],[Vacation Reserve]]*0.302,2979000*0.302+(Payroll_Data_Analysis[[#This Row],[Vacation Reserve]]-2979000)*0.151)</f>
        <v>123655.08532423207</v>
      </c>
      <c r="R16" s="7">
        <f>Payroll_Data_Analysis[[#This Row],[Monthly Salary]]*11</f>
        <v>3421000</v>
      </c>
      <c r="S16" s="7">
        <f>IF(Payroll_Data_Analysis[[#This Row],[11-Month Salary]]&lt;=2979000,Payroll_Data_Analysis[[#This Row],[11-Month Salary]]*0.302,2979000*0.302+(Payroll_Data_Analysis[[#This Row],[11-Month Salary]]-2979000)*0.151)</f>
        <v>966400</v>
      </c>
      <c r="T16" s="7">
        <f>IF(Payroll_Data_Analysis[[#This Row],[Base Salary (Monthly)]]&gt;=200000,69507,IF(Payroll_Data_Analysis[[#This Row],[Base Salary (Monthly)]]&gt;=145000,52684,35103))</f>
        <v>69507</v>
      </c>
      <c r="U16" s="7">
        <f>Payroll_Data_Analysis[[#This Row],[Annual KPI Bonus Reserve]]+Payroll_Data_Analysis[[#This Row],[Vacation Reserve]]+Payroll_Data_Analysis[[#This Row],[11-Month Salary]]</f>
        <v>4742453.9249146758</v>
      </c>
      <c r="V16" s="7">
        <f>Payroll_Data_Analysis[[#This Row],[Payroll Taxes (KPI Bonus)]]+Payroll_Data_Analysis[[#This Row],[Payroll Taxes (Vacation)]]+Payroll_Data_Analysis[[#This Row],[Payroll Taxes (Salary)]]</f>
        <v>1365479.085324232</v>
      </c>
      <c r="W16" s="13">
        <f>Payroll_Data_Analysis[[#This Row],[Total Payroll]]+Payroll_Data_Analysis[[#This Row],[Total Payroll Taxes]]</f>
        <v>6107933.0102389082</v>
      </c>
    </row>
    <row r="17" spans="1:23">
      <c r="A17" s="11" t="s">
        <v>647</v>
      </c>
      <c r="B17" s="5" t="s">
        <v>20</v>
      </c>
      <c r="C17" s="5" t="s">
        <v>707</v>
      </c>
      <c r="D17" s="28" t="str">
        <f>VLOOKUP(Payroll_Data_Analysis[[#This Row],[Position]],Position_Map!$A$2:$B$58,2,FALSE)</f>
        <v>Management</v>
      </c>
      <c r="E17" s="6">
        <v>1</v>
      </c>
      <c r="F17" s="7">
        <v>321000</v>
      </c>
      <c r="G17" s="7">
        <v>200000</v>
      </c>
      <c r="H17" s="7"/>
      <c r="I17" s="7">
        <f>dataset!$F17-dataset!$J17-dataset!$G17-dataset!$H17</f>
        <v>105000</v>
      </c>
      <c r="J17" s="7">
        <f>dataset!$G17*0.08</f>
        <v>16000</v>
      </c>
      <c r="K17" s="7">
        <f>dataset!$F17*12</f>
        <v>3852000</v>
      </c>
      <c r="L17" s="12">
        <f>IF(dataset!$G17&gt;=200000,38%,IF(dataset!$G17&lt;=145000,12.3%,))</f>
        <v>0.38</v>
      </c>
      <c r="M17" s="7">
        <f>dataset!$G17*L18*12</f>
        <v>295200.00000000006</v>
      </c>
      <c r="N17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17" s="7">
        <f>dataset!$K17+dataset!$M17</f>
        <v>4147200</v>
      </c>
      <c r="P17" s="7">
        <f>Payroll_Data_Analysis[[#This Row],[Annual Salary + KPI Bonus]]/12/29.3*31</f>
        <v>365651.87713310577</v>
      </c>
      <c r="Q17" s="7">
        <f>IF(Payroll_Data_Analysis[[#This Row],[Vacation Reserve]]&lt;=2979000,Payroll_Data_Analysis[[#This Row],[Vacation Reserve]]*0.302,2979000*0.302+(Payroll_Data_Analysis[[#This Row],[Vacation Reserve]]-2979000)*0.151)</f>
        <v>110426.86689419794</v>
      </c>
      <c r="R17" s="7">
        <f>Payroll_Data_Analysis[[#This Row],[Monthly Salary]]*11</f>
        <v>3531000</v>
      </c>
      <c r="S17" s="7">
        <f>IF(Payroll_Data_Analysis[[#This Row],[11-Month Salary]]&lt;=2979000,Payroll_Data_Analysis[[#This Row],[11-Month Salary]]*0.302,2979000*0.302+(Payroll_Data_Analysis[[#This Row],[11-Month Salary]]-2979000)*0.151)</f>
        <v>983010</v>
      </c>
      <c r="T17" s="7">
        <f>IF(Payroll_Data_Analysis[[#This Row],[Base Salary (Monthly)]]&gt;=200000,69507,IF(Payroll_Data_Analysis[[#This Row],[Base Salary (Monthly)]]&gt;=145000,52684,35103))</f>
        <v>69507</v>
      </c>
      <c r="U17" s="7">
        <f>Payroll_Data_Analysis[[#This Row],[Annual KPI Bonus Reserve]]+Payroll_Data_Analysis[[#This Row],[Vacation Reserve]]+Payroll_Data_Analysis[[#This Row],[11-Month Salary]]</f>
        <v>4191851.8771331059</v>
      </c>
      <c r="V17" s="7">
        <f>Payroll_Data_Analysis[[#This Row],[Payroll Taxes (KPI Bonus)]]+Payroll_Data_Analysis[[#This Row],[Payroll Taxes (Vacation)]]+Payroll_Data_Analysis[[#This Row],[Payroll Taxes (Salary)]]</f>
        <v>1182587.266894198</v>
      </c>
      <c r="W17" s="13">
        <f>Payroll_Data_Analysis[[#This Row],[Total Payroll]]+Payroll_Data_Analysis[[#This Row],[Total Payroll Taxes]]</f>
        <v>5374439.1440273039</v>
      </c>
    </row>
    <row r="18" spans="1:23" ht="18" customHeight="1">
      <c r="A18" s="11" t="s">
        <v>647</v>
      </c>
      <c r="B18" s="5" t="s">
        <v>21</v>
      </c>
      <c r="C18" s="5" t="s">
        <v>703</v>
      </c>
      <c r="D18" s="28" t="str">
        <f>VLOOKUP(Payroll_Data_Analysis[[#This Row],[Position]],Position_Map!$A$2:$B$58,2,FALSE)</f>
        <v>Management</v>
      </c>
      <c r="E18" s="6">
        <v>1</v>
      </c>
      <c r="F18" s="7">
        <v>211600</v>
      </c>
      <c r="G18" s="7">
        <v>145000</v>
      </c>
      <c r="H18" s="7"/>
      <c r="I18" s="7">
        <f>dataset!$F18-dataset!$J18-dataset!$G18-dataset!$H18</f>
        <v>55000</v>
      </c>
      <c r="J18" s="7">
        <f>dataset!$G18*0.08</f>
        <v>11600</v>
      </c>
      <c r="K18" s="7">
        <f>dataset!$F18*12</f>
        <v>2539200</v>
      </c>
      <c r="L18" s="12">
        <f>IF(dataset!$G18&gt;=200000,38%,IF(dataset!$G18&lt;=145000,12.3%,))</f>
        <v>0.12300000000000001</v>
      </c>
      <c r="M18" s="7">
        <f>dataset!$G18*L19*12</f>
        <v>214020</v>
      </c>
      <c r="N1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8" s="7">
        <f>dataset!$K18+dataset!$M18</f>
        <v>2753220</v>
      </c>
      <c r="P18" s="7">
        <f>Payroll_Data_Analysis[[#This Row],[Annual Salary + KPI Bonus]]/12/29.3*31</f>
        <v>242746.92832764506</v>
      </c>
      <c r="Q18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18" s="7">
        <f>Payroll_Data_Analysis[[#This Row],[Monthly Salary]]*11</f>
        <v>2327600</v>
      </c>
      <c r="S18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18" s="7">
        <f>IF(Payroll_Data_Analysis[[#This Row],[Base Salary (Monthly)]]&gt;=200000,69507,IF(Payroll_Data_Analysis[[#This Row],[Base Salary (Monthly)]]&gt;=145000,52684,35103))</f>
        <v>52684</v>
      </c>
      <c r="U18" s="7">
        <f>Payroll_Data_Analysis[[#This Row],[Annual KPI Bonus Reserve]]+Payroll_Data_Analysis[[#This Row],[Vacation Reserve]]+Payroll_Data_Analysis[[#This Row],[11-Month Salary]]</f>
        <v>2784366.9283276452</v>
      </c>
      <c r="V18" s="7">
        <f>Payroll_Data_Analysis[[#This Row],[Payroll Taxes (KPI Bonus)]]+Payroll_Data_Analysis[[#This Row],[Payroll Taxes (Vacation)]]+Payroll_Data_Analysis[[#This Row],[Payroll Taxes (Salary)]]</f>
        <v>840878.81235494872</v>
      </c>
      <c r="W18" s="13">
        <f>Payroll_Data_Analysis[[#This Row],[Total Payroll]]+Payroll_Data_Analysis[[#This Row],[Total Payroll Taxes]]</f>
        <v>3625245.740682594</v>
      </c>
    </row>
    <row r="19" spans="1:23" ht="18.75" customHeight="1">
      <c r="A19" s="11" t="s">
        <v>647</v>
      </c>
      <c r="B19" s="5" t="s">
        <v>22</v>
      </c>
      <c r="C19" s="5" t="s">
        <v>704</v>
      </c>
      <c r="D19" s="28" t="str">
        <f>VLOOKUP(Payroll_Data_Analysis[[#This Row],[Position]],Position_Map!$A$2:$B$58,2,FALSE)</f>
        <v>Management</v>
      </c>
      <c r="E19" s="6">
        <v>1</v>
      </c>
      <c r="F19" s="7">
        <v>231600</v>
      </c>
      <c r="G19" s="7">
        <v>145000</v>
      </c>
      <c r="H19" s="7"/>
      <c r="I19" s="7">
        <f>dataset!$F19-dataset!$J19-dataset!$G19-dataset!$H19</f>
        <v>75000</v>
      </c>
      <c r="J19" s="7">
        <f>dataset!$G19*0.08</f>
        <v>11600</v>
      </c>
      <c r="K19" s="7">
        <f>dataset!$F19*12</f>
        <v>2779200</v>
      </c>
      <c r="L19" s="12">
        <f>IF(dataset!$G19&gt;=200000,38%,IF(dataset!$G19&lt;=145000,12.3%,))</f>
        <v>0.12300000000000001</v>
      </c>
      <c r="M19" s="7">
        <f>dataset!$G19*L20*12</f>
        <v>214020</v>
      </c>
      <c r="N1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" s="7">
        <f>dataset!$K19+dataset!$M19</f>
        <v>2993220</v>
      </c>
      <c r="P19" s="7">
        <f>Payroll_Data_Analysis[[#This Row],[Annual Salary + KPI Bonus]]/12/29.3*31</f>
        <v>263907.33788395906</v>
      </c>
      <c r="Q19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19" s="7">
        <f>Payroll_Data_Analysis[[#This Row],[Monthly Salary]]*11</f>
        <v>2547600</v>
      </c>
      <c r="S19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19" s="7">
        <f>IF(Payroll_Data_Analysis[[#This Row],[Base Salary (Monthly)]]&gt;=200000,69507,IF(Payroll_Data_Analysis[[#This Row],[Base Salary (Monthly)]]&gt;=145000,52684,35103))</f>
        <v>52684</v>
      </c>
      <c r="U19" s="7">
        <f>Payroll_Data_Analysis[[#This Row],[Annual KPI Bonus Reserve]]+Payroll_Data_Analysis[[#This Row],[Vacation Reserve]]+Payroll_Data_Analysis[[#This Row],[11-Month Salary]]</f>
        <v>3025527.3378839591</v>
      </c>
      <c r="V19" s="7">
        <f>Payroll_Data_Analysis[[#This Row],[Payroll Taxes (KPI Bonus)]]+Payroll_Data_Analysis[[#This Row],[Payroll Taxes (Vacation)]]+Payroll_Data_Analysis[[#This Row],[Payroll Taxes (Salary)]]</f>
        <v>913709.25604095554</v>
      </c>
      <c r="W19" s="13">
        <f>Payroll_Data_Analysis[[#This Row],[Total Payroll]]+Payroll_Data_Analysis[[#This Row],[Total Payroll Taxes]]</f>
        <v>3939236.5939249145</v>
      </c>
    </row>
    <row r="20" spans="1:23" ht="18.75" customHeight="1">
      <c r="A20" s="11" t="s">
        <v>647</v>
      </c>
      <c r="B20" s="5" t="s">
        <v>23</v>
      </c>
      <c r="C20" s="5" t="s">
        <v>708</v>
      </c>
      <c r="D20" s="28" t="str">
        <f>VLOOKUP(Payroll_Data_Analysis[[#This Row],[Position]],Position_Map!$A$2:$B$58,2,FALSE)</f>
        <v>Professional</v>
      </c>
      <c r="E20" s="6">
        <v>1</v>
      </c>
      <c r="F20" s="7">
        <v>211600</v>
      </c>
      <c r="G20" s="7">
        <v>145000</v>
      </c>
      <c r="H20" s="7"/>
      <c r="I20" s="7">
        <f>dataset!$F20-dataset!$J20-dataset!$G20-dataset!$H20</f>
        <v>55000</v>
      </c>
      <c r="J20" s="7">
        <f>dataset!$G20*0.08</f>
        <v>11600</v>
      </c>
      <c r="K20" s="7">
        <f>dataset!$F20*12</f>
        <v>2539200</v>
      </c>
      <c r="L20" s="12">
        <f>IF(dataset!$G20&gt;=200000,38%,IF(dataset!$G20&lt;=145000,12.3%,))</f>
        <v>0.12300000000000001</v>
      </c>
      <c r="M20" s="7">
        <f>dataset!$G20*L21*12</f>
        <v>214020</v>
      </c>
      <c r="N2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0" s="7">
        <f>dataset!$K20+dataset!$M20</f>
        <v>2753220</v>
      </c>
      <c r="P20" s="7">
        <f>Payroll_Data_Analysis[[#This Row],[Annual Salary + KPI Bonus]]/12/29.3*31</f>
        <v>242746.92832764506</v>
      </c>
      <c r="Q20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20" s="7">
        <f>Payroll_Data_Analysis[[#This Row],[Monthly Salary]]*11</f>
        <v>2327600</v>
      </c>
      <c r="S20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0" s="7">
        <f>IF(Payroll_Data_Analysis[[#This Row],[Base Salary (Monthly)]]&gt;=200000,69507,IF(Payroll_Data_Analysis[[#This Row],[Base Salary (Monthly)]]&gt;=145000,52684,35103))</f>
        <v>52684</v>
      </c>
      <c r="U20" s="7">
        <f>Payroll_Data_Analysis[[#This Row],[Annual KPI Bonus Reserve]]+Payroll_Data_Analysis[[#This Row],[Vacation Reserve]]+Payroll_Data_Analysis[[#This Row],[11-Month Salary]]</f>
        <v>2784366.9283276452</v>
      </c>
      <c r="V20" s="7">
        <f>Payroll_Data_Analysis[[#This Row],[Payroll Taxes (KPI Bonus)]]+Payroll_Data_Analysis[[#This Row],[Payroll Taxes (Vacation)]]+Payroll_Data_Analysis[[#This Row],[Payroll Taxes (Salary)]]</f>
        <v>840878.81235494872</v>
      </c>
      <c r="W20" s="13">
        <f>Payroll_Data_Analysis[[#This Row],[Total Payroll]]+Payroll_Data_Analysis[[#This Row],[Total Payroll Taxes]]</f>
        <v>3625245.740682594</v>
      </c>
    </row>
    <row r="21" spans="1:23" ht="18.75" customHeight="1">
      <c r="A21" s="11" t="s">
        <v>647</v>
      </c>
      <c r="B21" s="5" t="s">
        <v>24</v>
      </c>
      <c r="C21" s="5" t="s">
        <v>708</v>
      </c>
      <c r="D21" s="28" t="str">
        <f>VLOOKUP(Payroll_Data_Analysis[[#This Row],[Position]],Position_Map!$A$2:$B$58,2,FALSE)</f>
        <v>Professional</v>
      </c>
      <c r="E21" s="6">
        <v>1</v>
      </c>
      <c r="F21" s="7">
        <v>211600</v>
      </c>
      <c r="G21" s="7">
        <v>145000</v>
      </c>
      <c r="H21" s="7"/>
      <c r="I21" s="7">
        <f>dataset!$F21-dataset!$J21-dataset!$G21-dataset!$H21</f>
        <v>55000</v>
      </c>
      <c r="J21" s="7">
        <f>dataset!$G21*0.08</f>
        <v>11600</v>
      </c>
      <c r="K21" s="7">
        <f>dataset!$F21*12</f>
        <v>2539200</v>
      </c>
      <c r="L21" s="12">
        <f>IF(dataset!$G21&gt;=200000,38%,IF(dataset!$G21&lt;=145000,12.3%,))</f>
        <v>0.12300000000000001</v>
      </c>
      <c r="M21" s="7">
        <f>dataset!$G21*L22*12</f>
        <v>214020</v>
      </c>
      <c r="N2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1" s="7">
        <f>dataset!$K21+dataset!$M21</f>
        <v>2753220</v>
      </c>
      <c r="P21" s="7">
        <f>Payroll_Data_Analysis[[#This Row],[Annual Salary + KPI Bonus]]/12/29.3*31</f>
        <v>242746.92832764506</v>
      </c>
      <c r="Q21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21" s="7">
        <f>Payroll_Data_Analysis[[#This Row],[Monthly Salary]]*11</f>
        <v>2327600</v>
      </c>
      <c r="S21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1" s="7">
        <f>IF(Payroll_Data_Analysis[[#This Row],[Base Salary (Monthly)]]&gt;=200000,69507,IF(Payroll_Data_Analysis[[#This Row],[Base Salary (Monthly)]]&gt;=145000,52684,35103))</f>
        <v>52684</v>
      </c>
      <c r="U21" s="7">
        <f>Payroll_Data_Analysis[[#This Row],[Annual KPI Bonus Reserve]]+Payroll_Data_Analysis[[#This Row],[Vacation Reserve]]+Payroll_Data_Analysis[[#This Row],[11-Month Salary]]</f>
        <v>2784366.9283276452</v>
      </c>
      <c r="V21" s="7">
        <f>Payroll_Data_Analysis[[#This Row],[Payroll Taxes (KPI Bonus)]]+Payroll_Data_Analysis[[#This Row],[Payroll Taxes (Vacation)]]+Payroll_Data_Analysis[[#This Row],[Payroll Taxes (Salary)]]</f>
        <v>840878.81235494872</v>
      </c>
      <c r="W21" s="13">
        <f>Payroll_Data_Analysis[[#This Row],[Total Payroll]]+Payroll_Data_Analysis[[#This Row],[Total Payroll Taxes]]</f>
        <v>3625245.740682594</v>
      </c>
    </row>
    <row r="22" spans="1:23" ht="18.75" customHeight="1">
      <c r="A22" s="11" t="s">
        <v>647</v>
      </c>
      <c r="B22" s="5" t="s">
        <v>25</v>
      </c>
      <c r="C22" s="5" t="s">
        <v>709</v>
      </c>
      <c r="D22" s="28" t="str">
        <f>VLOOKUP(Payroll_Data_Analysis[[#This Row],[Position]],Position_Map!$A$2:$B$58,2,FALSE)</f>
        <v>Engineering</v>
      </c>
      <c r="E22" s="6">
        <v>1</v>
      </c>
      <c r="F22" s="7">
        <v>211600</v>
      </c>
      <c r="G22" s="7">
        <v>145000</v>
      </c>
      <c r="H22" s="7"/>
      <c r="I22" s="7">
        <f>dataset!$F22-dataset!$J22-dataset!$G22-dataset!$H22</f>
        <v>55000</v>
      </c>
      <c r="J22" s="7">
        <f>dataset!$G22*0.08</f>
        <v>11600</v>
      </c>
      <c r="K22" s="7">
        <f>dataset!$F22*12</f>
        <v>2539200</v>
      </c>
      <c r="L22" s="12">
        <f>IF(dataset!$G22&gt;=200000,38%,IF(dataset!$G22&lt;=145000,12.3%,))</f>
        <v>0.12300000000000001</v>
      </c>
      <c r="M22" s="7">
        <f>dataset!$G22*L23*12</f>
        <v>214020</v>
      </c>
      <c r="N2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2" s="7">
        <f>dataset!$K22+dataset!$M22</f>
        <v>2753220</v>
      </c>
      <c r="P22" s="7">
        <f>Payroll_Data_Analysis[[#This Row],[Annual Salary + KPI Bonus]]/12/29.3*31</f>
        <v>242746.92832764506</v>
      </c>
      <c r="Q22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22" s="7">
        <f>Payroll_Data_Analysis[[#This Row],[Monthly Salary]]*11</f>
        <v>2327600</v>
      </c>
      <c r="S22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2" s="7">
        <f>IF(Payroll_Data_Analysis[[#This Row],[Base Salary (Monthly)]]&gt;=200000,69507,IF(Payroll_Data_Analysis[[#This Row],[Base Salary (Monthly)]]&gt;=145000,52684,35103))</f>
        <v>52684</v>
      </c>
      <c r="U22" s="7">
        <f>Payroll_Data_Analysis[[#This Row],[Annual KPI Bonus Reserve]]+Payroll_Data_Analysis[[#This Row],[Vacation Reserve]]+Payroll_Data_Analysis[[#This Row],[11-Month Salary]]</f>
        <v>2784366.9283276452</v>
      </c>
      <c r="V22" s="7">
        <f>Payroll_Data_Analysis[[#This Row],[Payroll Taxes (KPI Bonus)]]+Payroll_Data_Analysis[[#This Row],[Payroll Taxes (Vacation)]]+Payroll_Data_Analysis[[#This Row],[Payroll Taxes (Salary)]]</f>
        <v>840878.81235494872</v>
      </c>
      <c r="W22" s="13">
        <f>Payroll_Data_Analysis[[#This Row],[Total Payroll]]+Payroll_Data_Analysis[[#This Row],[Total Payroll Taxes]]</f>
        <v>3625245.740682594</v>
      </c>
    </row>
    <row r="23" spans="1:23" ht="18.75" customHeight="1">
      <c r="A23" s="11" t="s">
        <v>647</v>
      </c>
      <c r="B23" s="5" t="s">
        <v>26</v>
      </c>
      <c r="C23" s="5" t="s">
        <v>709</v>
      </c>
      <c r="D23" s="28" t="str">
        <f>VLOOKUP(Payroll_Data_Analysis[[#This Row],[Position]],Position_Map!$A$2:$B$58,2,FALSE)</f>
        <v>Engineering</v>
      </c>
      <c r="E23" s="6">
        <v>1</v>
      </c>
      <c r="F23" s="7">
        <v>211600</v>
      </c>
      <c r="G23" s="7">
        <v>145000</v>
      </c>
      <c r="H23" s="7"/>
      <c r="I23" s="7">
        <f>dataset!$F23-dataset!$J23-dataset!$G23-dataset!$H23</f>
        <v>55000</v>
      </c>
      <c r="J23" s="7">
        <f>dataset!$G23*0.08</f>
        <v>11600</v>
      </c>
      <c r="K23" s="7">
        <f>dataset!$F23*12</f>
        <v>2539200</v>
      </c>
      <c r="L23" s="12">
        <f>IF(dataset!$G23&gt;=200000,38%,IF(dataset!$G23&lt;=145000,12.3%,))</f>
        <v>0.12300000000000001</v>
      </c>
      <c r="M23" s="7">
        <f>dataset!$G23*L24*12</f>
        <v>661200</v>
      </c>
      <c r="N23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23" s="7">
        <f>dataset!$K23+dataset!$M23</f>
        <v>3200400</v>
      </c>
      <c r="P23" s="7">
        <f>Payroll_Data_Analysis[[#This Row],[Annual Salary + KPI Bonus]]/12/29.3*31</f>
        <v>282174.06143344712</v>
      </c>
      <c r="Q23" s="7">
        <f>IF(Payroll_Data_Analysis[[#This Row],[Vacation Reserve]]&lt;=2979000,Payroll_Data_Analysis[[#This Row],[Vacation Reserve]]*0.302,2979000*0.302+(Payroll_Data_Analysis[[#This Row],[Vacation Reserve]]-2979000)*0.151)</f>
        <v>85216.566552901029</v>
      </c>
      <c r="R23" s="7">
        <f>Payroll_Data_Analysis[[#This Row],[Monthly Salary]]*11</f>
        <v>2327600</v>
      </c>
      <c r="S23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3" s="7">
        <f>IF(Payroll_Data_Analysis[[#This Row],[Base Salary (Monthly)]]&gt;=200000,69507,IF(Payroll_Data_Analysis[[#This Row],[Base Salary (Monthly)]]&gt;=145000,52684,35103))</f>
        <v>52684</v>
      </c>
      <c r="U23" s="7">
        <f>Payroll_Data_Analysis[[#This Row],[Annual KPI Bonus Reserve]]+Payroll_Data_Analysis[[#This Row],[Vacation Reserve]]+Payroll_Data_Analysis[[#This Row],[11-Month Salary]]</f>
        <v>3270974.0614334471</v>
      </c>
      <c r="V23" s="7">
        <f>Payroll_Data_Analysis[[#This Row],[Payroll Taxes (KPI Bonus)]]+Payroll_Data_Analysis[[#This Row],[Payroll Taxes (Vacation)]]+Payroll_Data_Analysis[[#This Row],[Payroll Taxes (Salary)]]</f>
        <v>987834.16655290104</v>
      </c>
      <c r="W23" s="13">
        <f>Payroll_Data_Analysis[[#This Row],[Total Payroll]]+Payroll_Data_Analysis[[#This Row],[Total Payroll Taxes]]</f>
        <v>4258808.2279863479</v>
      </c>
    </row>
    <row r="24" spans="1:23" ht="23.25" customHeight="1">
      <c r="A24" s="11" t="s">
        <v>647</v>
      </c>
      <c r="B24" s="5" t="s">
        <v>27</v>
      </c>
      <c r="C24" s="5" t="s">
        <v>703</v>
      </c>
      <c r="D24" s="28" t="str">
        <f>VLOOKUP(Payroll_Data_Analysis[[#This Row],[Position]],Position_Map!$A$2:$B$58,2,FALSE)</f>
        <v>Management</v>
      </c>
      <c r="E24" s="6">
        <v>1</v>
      </c>
      <c r="F24" s="7">
        <v>321000</v>
      </c>
      <c r="G24" s="7">
        <v>200000</v>
      </c>
      <c r="H24" s="7"/>
      <c r="I24" s="7">
        <f>dataset!$F24-dataset!$J24-dataset!$G24-dataset!$H24</f>
        <v>105000</v>
      </c>
      <c r="J24" s="7">
        <f>dataset!$G24*0.08</f>
        <v>16000</v>
      </c>
      <c r="K24" s="7">
        <f>dataset!$F24*12</f>
        <v>3852000</v>
      </c>
      <c r="L24" s="12">
        <f>IF(dataset!$G24&gt;=200000,38%,IF(dataset!$G24&lt;=145000,12.3%,))</f>
        <v>0.38</v>
      </c>
      <c r="M24" s="7">
        <f>dataset!$G24*L25*12</f>
        <v>295200.00000000006</v>
      </c>
      <c r="N24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24" s="7">
        <f>dataset!$K24+dataset!$M24</f>
        <v>4147200</v>
      </c>
      <c r="P24" s="7">
        <f>Payroll_Data_Analysis[[#This Row],[Annual Salary + KPI Bonus]]/12/29.3*31</f>
        <v>365651.87713310577</v>
      </c>
      <c r="Q24" s="7">
        <f>IF(Payroll_Data_Analysis[[#This Row],[Vacation Reserve]]&lt;=2979000,Payroll_Data_Analysis[[#This Row],[Vacation Reserve]]*0.302,2979000*0.302+(Payroll_Data_Analysis[[#This Row],[Vacation Reserve]]-2979000)*0.151)</f>
        <v>110426.86689419794</v>
      </c>
      <c r="R24" s="7">
        <f>Payroll_Data_Analysis[[#This Row],[Monthly Salary]]*11</f>
        <v>3531000</v>
      </c>
      <c r="S24" s="7">
        <f>IF(Payroll_Data_Analysis[[#This Row],[11-Month Salary]]&lt;=2979000,Payroll_Data_Analysis[[#This Row],[11-Month Salary]]*0.302,2979000*0.302+(Payroll_Data_Analysis[[#This Row],[11-Month Salary]]-2979000)*0.151)</f>
        <v>983010</v>
      </c>
      <c r="T24" s="7">
        <f>IF(Payroll_Data_Analysis[[#This Row],[Base Salary (Monthly)]]&gt;=200000,69507,IF(Payroll_Data_Analysis[[#This Row],[Base Salary (Monthly)]]&gt;=145000,52684,35103))</f>
        <v>69507</v>
      </c>
      <c r="U24" s="7">
        <f>Payroll_Data_Analysis[[#This Row],[Annual KPI Bonus Reserve]]+Payroll_Data_Analysis[[#This Row],[Vacation Reserve]]+Payroll_Data_Analysis[[#This Row],[11-Month Salary]]</f>
        <v>4191851.8771331059</v>
      </c>
      <c r="V24" s="7">
        <f>Payroll_Data_Analysis[[#This Row],[Payroll Taxes (KPI Bonus)]]+Payroll_Data_Analysis[[#This Row],[Payroll Taxes (Vacation)]]+Payroll_Data_Analysis[[#This Row],[Payroll Taxes (Salary)]]</f>
        <v>1182587.266894198</v>
      </c>
      <c r="W24" s="13">
        <f>Payroll_Data_Analysis[[#This Row],[Total Payroll]]+Payroll_Data_Analysis[[#This Row],[Total Payroll Taxes]]</f>
        <v>5374439.1440273039</v>
      </c>
    </row>
    <row r="25" spans="1:23">
      <c r="A25" s="11" t="s">
        <v>647</v>
      </c>
      <c r="B25" s="5" t="s">
        <v>28</v>
      </c>
      <c r="C25" s="5" t="s">
        <v>710</v>
      </c>
      <c r="D25" s="28" t="str">
        <f>VLOOKUP(Payroll_Data_Analysis[[#This Row],[Position]],Position_Map!$A$2:$B$58,2,FALSE)</f>
        <v>Professional</v>
      </c>
      <c r="E25" s="6">
        <v>1</v>
      </c>
      <c r="F25" s="7">
        <v>178000</v>
      </c>
      <c r="G25" s="7">
        <v>100000</v>
      </c>
      <c r="H25" s="7"/>
      <c r="I25" s="7">
        <f>dataset!$F25-dataset!$J25-dataset!$G25-dataset!$H25</f>
        <v>70000</v>
      </c>
      <c r="J25" s="7">
        <f>dataset!$G25*0.08</f>
        <v>8000</v>
      </c>
      <c r="K25" s="7">
        <f>dataset!$F25*12</f>
        <v>2136000</v>
      </c>
      <c r="L25" s="12">
        <f>IF(dataset!$G25&gt;=200000,38%,IF(dataset!$G25&lt;=145000,12.3%,))</f>
        <v>0.12300000000000001</v>
      </c>
      <c r="M25" s="7">
        <f>dataset!$G25*L26*12</f>
        <v>147600.00000000003</v>
      </c>
      <c r="N2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" s="7">
        <f>dataset!$K25+dataset!$M25</f>
        <v>2283600</v>
      </c>
      <c r="P25" s="7">
        <f>Payroll_Data_Analysis[[#This Row],[Annual Salary + KPI Bonus]]/12/29.3*31</f>
        <v>201341.29692832765</v>
      </c>
      <c r="Q25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25" s="7">
        <f>Payroll_Data_Analysis[[#This Row],[Monthly Salary]]*11</f>
        <v>1958000</v>
      </c>
      <c r="S25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25" s="7">
        <f>IF(Payroll_Data_Analysis[[#This Row],[Base Salary (Monthly)]]&gt;=200000,69507,IF(Payroll_Data_Analysis[[#This Row],[Base Salary (Monthly)]]&gt;=145000,52684,35103))</f>
        <v>35103</v>
      </c>
      <c r="U25" s="7">
        <f>Payroll_Data_Analysis[[#This Row],[Annual KPI Bonus Reserve]]+Payroll_Data_Analysis[[#This Row],[Vacation Reserve]]+Payroll_Data_Analysis[[#This Row],[11-Month Salary]]</f>
        <v>2306941.2969283275</v>
      </c>
      <c r="V25" s="7">
        <f>Payroll_Data_Analysis[[#This Row],[Payroll Taxes (KPI Bonus)]]+Payroll_Data_Analysis[[#This Row],[Payroll Taxes (Vacation)]]+Payroll_Data_Analysis[[#This Row],[Payroll Taxes (Salary)]]</f>
        <v>696696.27167235501</v>
      </c>
      <c r="W25" s="13">
        <f>Payroll_Data_Analysis[[#This Row],[Total Payroll]]+Payroll_Data_Analysis[[#This Row],[Total Payroll Taxes]]</f>
        <v>3003637.5686006825</v>
      </c>
    </row>
    <row r="26" spans="1:23">
      <c r="A26" s="11" t="s">
        <v>647</v>
      </c>
      <c r="B26" s="5" t="s">
        <v>29</v>
      </c>
      <c r="C26" s="5" t="s">
        <v>708</v>
      </c>
      <c r="D26" s="28" t="str">
        <f>VLOOKUP(Payroll_Data_Analysis[[#This Row],[Position]],Position_Map!$A$2:$B$58,2,FALSE)</f>
        <v>Professional</v>
      </c>
      <c r="E26" s="6">
        <v>1</v>
      </c>
      <c r="F26" s="7">
        <v>196600</v>
      </c>
      <c r="G26" s="7">
        <v>145000</v>
      </c>
      <c r="H26" s="7"/>
      <c r="I26" s="7">
        <f>dataset!$F26-dataset!$J26-dataset!$G26-dataset!$H26</f>
        <v>40000</v>
      </c>
      <c r="J26" s="7">
        <f>dataset!$G26*0.08</f>
        <v>11600</v>
      </c>
      <c r="K26" s="7">
        <f>dataset!$F26*12</f>
        <v>2359200</v>
      </c>
      <c r="L26" s="12">
        <f>IF(dataset!$G26&gt;=200000,38%,IF(dataset!$G26&lt;=145000,12.3%,))</f>
        <v>0.12300000000000001</v>
      </c>
      <c r="M26" s="7">
        <f>dataset!$G26*L27*12</f>
        <v>214020</v>
      </c>
      <c r="N2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6" s="7">
        <f>dataset!$K26+dataset!$M26</f>
        <v>2573220</v>
      </c>
      <c r="P26" s="7">
        <f>Payroll_Data_Analysis[[#This Row],[Annual Salary + KPI Bonus]]/12/29.3*31</f>
        <v>226876.62116040956</v>
      </c>
      <c r="Q26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26" s="7">
        <f>Payroll_Data_Analysis[[#This Row],[Monthly Salary]]*11</f>
        <v>2162600</v>
      </c>
      <c r="S26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26" s="7">
        <f>IF(Payroll_Data_Analysis[[#This Row],[Base Salary (Monthly)]]&gt;=200000,69507,IF(Payroll_Data_Analysis[[#This Row],[Base Salary (Monthly)]]&gt;=145000,52684,35103))</f>
        <v>52684</v>
      </c>
      <c r="U26" s="7">
        <f>Payroll_Data_Analysis[[#This Row],[Annual KPI Bonus Reserve]]+Payroll_Data_Analysis[[#This Row],[Vacation Reserve]]+Payroll_Data_Analysis[[#This Row],[11-Month Salary]]</f>
        <v>2603496.6211604094</v>
      </c>
      <c r="V26" s="7">
        <f>Payroll_Data_Analysis[[#This Row],[Payroll Taxes (KPI Bonus)]]+Payroll_Data_Analysis[[#This Row],[Payroll Taxes (Vacation)]]+Payroll_Data_Analysis[[#This Row],[Payroll Taxes (Salary)]]</f>
        <v>786255.97959044366</v>
      </c>
      <c r="W26" s="13">
        <f>Payroll_Data_Analysis[[#This Row],[Total Payroll]]+Payroll_Data_Analysis[[#This Row],[Total Payroll Taxes]]</f>
        <v>3389752.6007508533</v>
      </c>
    </row>
    <row r="27" spans="1:23">
      <c r="A27" s="11" t="s">
        <v>647</v>
      </c>
      <c r="B27" s="5" t="s">
        <v>30</v>
      </c>
      <c r="C27" s="5" t="s">
        <v>704</v>
      </c>
      <c r="D27" s="28" t="str">
        <f>VLOOKUP(Payroll_Data_Analysis[[#This Row],[Position]],Position_Map!$A$2:$B$58,2,FALSE)</f>
        <v>Management</v>
      </c>
      <c r="E27" s="6">
        <v>1</v>
      </c>
      <c r="F27" s="7">
        <v>238600</v>
      </c>
      <c r="G27" s="7">
        <v>145000</v>
      </c>
      <c r="H27" s="7"/>
      <c r="I27" s="7">
        <f>dataset!$F27-dataset!$J27-dataset!$G27-dataset!$H27</f>
        <v>82000</v>
      </c>
      <c r="J27" s="7">
        <f>dataset!$G27*0.08</f>
        <v>11600</v>
      </c>
      <c r="K27" s="7">
        <f>dataset!$F27*12</f>
        <v>2863200</v>
      </c>
      <c r="L27" s="12">
        <f>IF(dataset!$G27&gt;=200000,38%,IF(dataset!$G27&lt;=145000,12.3%,))</f>
        <v>0.12300000000000001</v>
      </c>
      <c r="M27" s="7">
        <f>dataset!$G27*L28*12</f>
        <v>214020</v>
      </c>
      <c r="N2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7" s="7">
        <f>dataset!$K27+dataset!$M27</f>
        <v>3077220</v>
      </c>
      <c r="P27" s="7">
        <f>Payroll_Data_Analysis[[#This Row],[Annual Salary + KPI Bonus]]/12/29.3*31</f>
        <v>271313.48122866894</v>
      </c>
      <c r="Q27" s="7">
        <f>IF(Payroll_Data_Analysis[[#This Row],[Vacation Reserve]]&lt;=2979000,Payroll_Data_Analysis[[#This Row],[Vacation Reserve]]*0.302,2979000*0.302+(Payroll_Data_Analysis[[#This Row],[Vacation Reserve]]-2979000)*0.151)</f>
        <v>81936.671331058023</v>
      </c>
      <c r="R27" s="7">
        <f>Payroll_Data_Analysis[[#This Row],[Monthly Salary]]*11</f>
        <v>2624600</v>
      </c>
      <c r="S27" s="7">
        <f>IF(Payroll_Data_Analysis[[#This Row],[11-Month Salary]]&lt;=2979000,Payroll_Data_Analysis[[#This Row],[11-Month Salary]]*0.302,2979000*0.302+(Payroll_Data_Analysis[[#This Row],[11-Month Salary]]-2979000)*0.151)</f>
        <v>792629.2</v>
      </c>
      <c r="T27" s="7">
        <f>IF(Payroll_Data_Analysis[[#This Row],[Base Salary (Monthly)]]&gt;=200000,69507,IF(Payroll_Data_Analysis[[#This Row],[Base Salary (Monthly)]]&gt;=145000,52684,35103))</f>
        <v>52684</v>
      </c>
      <c r="U27" s="7">
        <f>Payroll_Data_Analysis[[#This Row],[Annual KPI Bonus Reserve]]+Payroll_Data_Analysis[[#This Row],[Vacation Reserve]]+Payroll_Data_Analysis[[#This Row],[11-Month Salary]]</f>
        <v>3109933.4812286692</v>
      </c>
      <c r="V27" s="7">
        <f>Payroll_Data_Analysis[[#This Row],[Payroll Taxes (KPI Bonus)]]+Payroll_Data_Analysis[[#This Row],[Payroll Taxes (Vacation)]]+Payroll_Data_Analysis[[#This Row],[Payroll Taxes (Salary)]]</f>
        <v>939199.91133105801</v>
      </c>
      <c r="W27" s="13">
        <f>Payroll_Data_Analysis[[#This Row],[Total Payroll]]+Payroll_Data_Analysis[[#This Row],[Total Payroll Taxes]]</f>
        <v>4049133.3925597272</v>
      </c>
    </row>
    <row r="28" spans="1:23">
      <c r="A28" s="11" t="s">
        <v>647</v>
      </c>
      <c r="B28" s="5" t="s">
        <v>31</v>
      </c>
      <c r="C28" s="5" t="s">
        <v>704</v>
      </c>
      <c r="D28" s="28" t="str">
        <f>VLOOKUP(Payroll_Data_Analysis[[#This Row],[Position]],Position_Map!$A$2:$B$58,2,FALSE)</f>
        <v>Management</v>
      </c>
      <c r="E28" s="6">
        <v>1</v>
      </c>
      <c r="F28" s="7">
        <v>238600</v>
      </c>
      <c r="G28" s="7">
        <v>145000</v>
      </c>
      <c r="H28" s="7"/>
      <c r="I28" s="7">
        <f>dataset!$F28-dataset!$J28-dataset!$G28-dataset!$H28</f>
        <v>82000</v>
      </c>
      <c r="J28" s="7">
        <f>dataset!$G28*0.08</f>
        <v>11600</v>
      </c>
      <c r="K28" s="7">
        <f>dataset!$F28*12</f>
        <v>2863200</v>
      </c>
      <c r="L28" s="12">
        <f>IF(dataset!$G28&gt;=200000,38%,IF(dataset!$G28&lt;=145000,12.3%,))</f>
        <v>0.12300000000000001</v>
      </c>
      <c r="M28" s="7">
        <f>dataset!$G28*L29*12</f>
        <v>214020</v>
      </c>
      <c r="N2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8" s="7">
        <f>dataset!$K28+dataset!$M28</f>
        <v>3077220</v>
      </c>
      <c r="P28" s="7">
        <f>Payroll_Data_Analysis[[#This Row],[Annual Salary + KPI Bonus]]/12/29.3*31</f>
        <v>271313.48122866894</v>
      </c>
      <c r="Q28" s="7">
        <f>IF(Payroll_Data_Analysis[[#This Row],[Vacation Reserve]]&lt;=2979000,Payroll_Data_Analysis[[#This Row],[Vacation Reserve]]*0.302,2979000*0.302+(Payroll_Data_Analysis[[#This Row],[Vacation Reserve]]-2979000)*0.151)</f>
        <v>81936.671331058023</v>
      </c>
      <c r="R28" s="7">
        <f>Payroll_Data_Analysis[[#This Row],[Monthly Salary]]*11</f>
        <v>2624600</v>
      </c>
      <c r="S28" s="7">
        <f>IF(Payroll_Data_Analysis[[#This Row],[11-Month Salary]]&lt;=2979000,Payroll_Data_Analysis[[#This Row],[11-Month Salary]]*0.302,2979000*0.302+(Payroll_Data_Analysis[[#This Row],[11-Month Salary]]-2979000)*0.151)</f>
        <v>792629.2</v>
      </c>
      <c r="T28" s="7">
        <f>IF(Payroll_Data_Analysis[[#This Row],[Base Salary (Monthly)]]&gt;=200000,69507,IF(Payroll_Data_Analysis[[#This Row],[Base Salary (Monthly)]]&gt;=145000,52684,35103))</f>
        <v>52684</v>
      </c>
      <c r="U28" s="7">
        <f>Payroll_Data_Analysis[[#This Row],[Annual KPI Bonus Reserve]]+Payroll_Data_Analysis[[#This Row],[Vacation Reserve]]+Payroll_Data_Analysis[[#This Row],[11-Month Salary]]</f>
        <v>3109933.4812286692</v>
      </c>
      <c r="V28" s="7">
        <f>Payroll_Data_Analysis[[#This Row],[Payroll Taxes (KPI Bonus)]]+Payroll_Data_Analysis[[#This Row],[Payroll Taxes (Vacation)]]+Payroll_Data_Analysis[[#This Row],[Payroll Taxes (Salary)]]</f>
        <v>939199.91133105801</v>
      </c>
      <c r="W28" s="13">
        <f>Payroll_Data_Analysis[[#This Row],[Total Payroll]]+Payroll_Data_Analysis[[#This Row],[Total Payroll Taxes]]</f>
        <v>4049133.3925597272</v>
      </c>
    </row>
    <row r="29" spans="1:23">
      <c r="A29" s="11" t="s">
        <v>647</v>
      </c>
      <c r="B29" s="5" t="s">
        <v>32</v>
      </c>
      <c r="C29" s="5" t="s">
        <v>711</v>
      </c>
      <c r="D29" s="28" t="str">
        <f>VLOOKUP(Payroll_Data_Analysis[[#This Row],[Position]],Position_Map!$A$2:$B$58,2,FALSE)</f>
        <v>Technical</v>
      </c>
      <c r="E29" s="6">
        <v>1</v>
      </c>
      <c r="F29" s="7">
        <v>146400</v>
      </c>
      <c r="G29" s="7">
        <v>100000</v>
      </c>
      <c r="H29" s="7"/>
      <c r="I29" s="7">
        <f>dataset!$F29-dataset!$J29-dataset!$G29-dataset!$H29</f>
        <v>38400</v>
      </c>
      <c r="J29" s="7">
        <f>dataset!$G29*0.08</f>
        <v>8000</v>
      </c>
      <c r="K29" s="7">
        <f>dataset!$F29*12</f>
        <v>1756800</v>
      </c>
      <c r="L29" s="12">
        <f>IF(dataset!$G29&gt;=200000,38%,IF(dataset!$G29&lt;=145000,12.3%,))</f>
        <v>0.12300000000000001</v>
      </c>
      <c r="M29" s="7">
        <f>dataset!$G29*L30*12</f>
        <v>147600.00000000003</v>
      </c>
      <c r="N2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9" s="7">
        <f>dataset!$K29+dataset!$M29</f>
        <v>1904400</v>
      </c>
      <c r="P29" s="7">
        <f>Payroll_Data_Analysis[[#This Row],[Annual Salary + KPI Bonus]]/12/29.3*31</f>
        <v>167907.84982935153</v>
      </c>
      <c r="Q29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29" s="7">
        <f>Payroll_Data_Analysis[[#This Row],[Monthly Salary]]*11</f>
        <v>1610400</v>
      </c>
      <c r="S29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29" s="7">
        <f>IF(Payroll_Data_Analysis[[#This Row],[Base Salary (Monthly)]]&gt;=200000,69507,IF(Payroll_Data_Analysis[[#This Row],[Base Salary (Monthly)]]&gt;=145000,52684,35103))</f>
        <v>35103</v>
      </c>
      <c r="U29" s="7">
        <f>Payroll_Data_Analysis[[#This Row],[Annual KPI Bonus Reserve]]+Payroll_Data_Analysis[[#This Row],[Vacation Reserve]]+Payroll_Data_Analysis[[#This Row],[11-Month Salary]]</f>
        <v>1925907.8498293515</v>
      </c>
      <c r="V29" s="7">
        <f>Payroll_Data_Analysis[[#This Row],[Payroll Taxes (KPI Bonus)]]+Payroll_Data_Analysis[[#This Row],[Payroll Taxes (Vacation)]]+Payroll_Data_Analysis[[#This Row],[Payroll Taxes (Salary)]]</f>
        <v>581624.17064846412</v>
      </c>
      <c r="W29" s="13">
        <f>Payroll_Data_Analysis[[#This Row],[Total Payroll]]+Payroll_Data_Analysis[[#This Row],[Total Payroll Taxes]]</f>
        <v>2507532.0204778155</v>
      </c>
    </row>
    <row r="30" spans="1:23">
      <c r="A30" s="11" t="s">
        <v>647</v>
      </c>
      <c r="B30" s="5" t="s">
        <v>33</v>
      </c>
      <c r="C30" s="5" t="s">
        <v>711</v>
      </c>
      <c r="D30" s="28" t="str">
        <f>VLOOKUP(Payroll_Data_Analysis[[#This Row],[Position]],Position_Map!$A$2:$B$58,2,FALSE)</f>
        <v>Technical</v>
      </c>
      <c r="E30" s="6">
        <v>1</v>
      </c>
      <c r="F30" s="7">
        <v>126400</v>
      </c>
      <c r="G30" s="7">
        <v>100000</v>
      </c>
      <c r="H30" s="7"/>
      <c r="I30" s="7">
        <f>dataset!$F30-dataset!$J30-dataset!$G30-dataset!$H30</f>
        <v>18400</v>
      </c>
      <c r="J30" s="7">
        <f>dataset!$G30*0.08</f>
        <v>8000</v>
      </c>
      <c r="K30" s="7">
        <f>dataset!$F30*12</f>
        <v>1516800</v>
      </c>
      <c r="L30" s="12">
        <f>IF(dataset!$G30&gt;=200000,38%,IF(dataset!$G30&lt;=145000,12.3%,))</f>
        <v>0.12300000000000001</v>
      </c>
      <c r="M30" s="7">
        <f>dataset!$G30*L31*12</f>
        <v>147600.00000000003</v>
      </c>
      <c r="N3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0" s="7">
        <f>dataset!$K30+dataset!$M30</f>
        <v>1664400</v>
      </c>
      <c r="P30" s="7">
        <f>Payroll_Data_Analysis[[#This Row],[Annual Salary + KPI Bonus]]/12/29.3*31</f>
        <v>146747.44027303753</v>
      </c>
      <c r="Q30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0" s="7">
        <f>Payroll_Data_Analysis[[#This Row],[Monthly Salary]]*11</f>
        <v>1390400</v>
      </c>
      <c r="S30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0" s="7">
        <f>IF(Payroll_Data_Analysis[[#This Row],[Base Salary (Monthly)]]&gt;=200000,69507,IF(Payroll_Data_Analysis[[#This Row],[Base Salary (Monthly)]]&gt;=145000,52684,35103))</f>
        <v>35103</v>
      </c>
      <c r="U30" s="7">
        <f>Payroll_Data_Analysis[[#This Row],[Annual KPI Bonus Reserve]]+Payroll_Data_Analysis[[#This Row],[Vacation Reserve]]+Payroll_Data_Analysis[[#This Row],[11-Month Salary]]</f>
        <v>1684747.4402730376</v>
      </c>
      <c r="V30" s="7">
        <f>Payroll_Data_Analysis[[#This Row],[Payroll Taxes (KPI Bonus)]]+Payroll_Data_Analysis[[#This Row],[Payroll Taxes (Vacation)]]+Payroll_Data_Analysis[[#This Row],[Payroll Taxes (Salary)]]</f>
        <v>508793.72696245729</v>
      </c>
      <c r="W30" s="13">
        <f>Payroll_Data_Analysis[[#This Row],[Total Payroll]]+Payroll_Data_Analysis[[#This Row],[Total Payroll Taxes]]</f>
        <v>2193541.1672354951</v>
      </c>
    </row>
    <row r="31" spans="1:23">
      <c r="A31" s="11" t="s">
        <v>647</v>
      </c>
      <c r="B31" s="5" t="s">
        <v>34</v>
      </c>
      <c r="C31" s="5" t="s">
        <v>711</v>
      </c>
      <c r="D31" s="28" t="str">
        <f>VLOOKUP(Payroll_Data_Analysis[[#This Row],[Position]],Position_Map!$A$2:$B$58,2,FALSE)</f>
        <v>Technical</v>
      </c>
      <c r="E31" s="6">
        <v>1</v>
      </c>
      <c r="F31" s="7">
        <v>126400</v>
      </c>
      <c r="G31" s="7">
        <v>100000</v>
      </c>
      <c r="H31" s="7"/>
      <c r="I31" s="7">
        <f>dataset!$F31-dataset!$J31-dataset!$G31-dataset!$H31</f>
        <v>18400</v>
      </c>
      <c r="J31" s="7">
        <f>dataset!$G31*0.08</f>
        <v>8000</v>
      </c>
      <c r="K31" s="7">
        <f>dataset!$F31*12</f>
        <v>1516800</v>
      </c>
      <c r="L31" s="12">
        <f>IF(dataset!$G31&gt;=200000,38%,IF(dataset!$G31&lt;=145000,12.3%,))</f>
        <v>0.12300000000000001</v>
      </c>
      <c r="M31" s="7">
        <f>dataset!$G31*L32*12</f>
        <v>147600.00000000003</v>
      </c>
      <c r="N3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1" s="7">
        <f>dataset!$K31+dataset!$M31</f>
        <v>1664400</v>
      </c>
      <c r="P31" s="7">
        <f>Payroll_Data_Analysis[[#This Row],[Annual Salary + KPI Bonus]]/12/29.3*31</f>
        <v>146747.44027303753</v>
      </c>
      <c r="Q31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1" s="7">
        <f>Payroll_Data_Analysis[[#This Row],[Monthly Salary]]*11</f>
        <v>1390400</v>
      </c>
      <c r="S31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1" s="7">
        <f>IF(Payroll_Data_Analysis[[#This Row],[Base Salary (Monthly)]]&gt;=200000,69507,IF(Payroll_Data_Analysis[[#This Row],[Base Salary (Monthly)]]&gt;=145000,52684,35103))</f>
        <v>35103</v>
      </c>
      <c r="U31" s="7">
        <f>Payroll_Data_Analysis[[#This Row],[Annual KPI Bonus Reserve]]+Payroll_Data_Analysis[[#This Row],[Vacation Reserve]]+Payroll_Data_Analysis[[#This Row],[11-Month Salary]]</f>
        <v>1684747.4402730376</v>
      </c>
      <c r="V31" s="7">
        <f>Payroll_Data_Analysis[[#This Row],[Payroll Taxes (KPI Bonus)]]+Payroll_Data_Analysis[[#This Row],[Payroll Taxes (Vacation)]]+Payroll_Data_Analysis[[#This Row],[Payroll Taxes (Salary)]]</f>
        <v>508793.72696245729</v>
      </c>
      <c r="W31" s="13">
        <f>Payroll_Data_Analysis[[#This Row],[Total Payroll]]+Payroll_Data_Analysis[[#This Row],[Total Payroll Taxes]]</f>
        <v>2193541.1672354951</v>
      </c>
    </row>
    <row r="32" spans="1:23">
      <c r="A32" s="11" t="s">
        <v>647</v>
      </c>
      <c r="B32" s="5" t="s">
        <v>35</v>
      </c>
      <c r="C32" s="5" t="s">
        <v>711</v>
      </c>
      <c r="D32" s="28" t="str">
        <f>VLOOKUP(Payroll_Data_Analysis[[#This Row],[Position]],Position_Map!$A$2:$B$58,2,FALSE)</f>
        <v>Technical</v>
      </c>
      <c r="E32" s="6">
        <v>1</v>
      </c>
      <c r="F32" s="7">
        <v>126400</v>
      </c>
      <c r="G32" s="7">
        <v>100000</v>
      </c>
      <c r="H32" s="7"/>
      <c r="I32" s="7">
        <f>dataset!$F32-dataset!$J32-dataset!$G32-dataset!$H32</f>
        <v>18400</v>
      </c>
      <c r="J32" s="7">
        <f>dataset!$G32*0.08</f>
        <v>8000</v>
      </c>
      <c r="K32" s="7">
        <f>dataset!$F32*12</f>
        <v>1516800</v>
      </c>
      <c r="L32" s="12">
        <f>IF(dataset!$G32&gt;=200000,38%,IF(dataset!$G32&lt;=145000,12.3%,))</f>
        <v>0.12300000000000001</v>
      </c>
      <c r="M32" s="7">
        <f>dataset!$G32*L33*12</f>
        <v>147600.00000000003</v>
      </c>
      <c r="N3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2" s="7">
        <f>dataset!$K32+dataset!$M32</f>
        <v>1664400</v>
      </c>
      <c r="P32" s="7">
        <f>Payroll_Data_Analysis[[#This Row],[Annual Salary + KPI Bonus]]/12/29.3*31</f>
        <v>146747.44027303753</v>
      </c>
      <c r="Q32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2" s="7">
        <f>Payroll_Data_Analysis[[#This Row],[Monthly Salary]]*11</f>
        <v>1390400</v>
      </c>
      <c r="S32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2" s="7">
        <f>IF(Payroll_Data_Analysis[[#This Row],[Base Salary (Monthly)]]&gt;=200000,69507,IF(Payroll_Data_Analysis[[#This Row],[Base Salary (Monthly)]]&gt;=145000,52684,35103))</f>
        <v>35103</v>
      </c>
      <c r="U32" s="7">
        <f>Payroll_Data_Analysis[[#This Row],[Annual KPI Bonus Reserve]]+Payroll_Data_Analysis[[#This Row],[Vacation Reserve]]+Payroll_Data_Analysis[[#This Row],[11-Month Salary]]</f>
        <v>1684747.4402730376</v>
      </c>
      <c r="V32" s="7">
        <f>Payroll_Data_Analysis[[#This Row],[Payroll Taxes (KPI Bonus)]]+Payroll_Data_Analysis[[#This Row],[Payroll Taxes (Vacation)]]+Payroll_Data_Analysis[[#This Row],[Payroll Taxes (Salary)]]</f>
        <v>508793.72696245729</v>
      </c>
      <c r="W32" s="13">
        <f>Payroll_Data_Analysis[[#This Row],[Total Payroll]]+Payroll_Data_Analysis[[#This Row],[Total Payroll Taxes]]</f>
        <v>2193541.1672354951</v>
      </c>
    </row>
    <row r="33" spans="1:23">
      <c r="A33" s="11" t="s">
        <v>647</v>
      </c>
      <c r="B33" s="5" t="s">
        <v>36</v>
      </c>
      <c r="C33" s="5" t="s">
        <v>711</v>
      </c>
      <c r="D33" s="28" t="str">
        <f>VLOOKUP(Payroll_Data_Analysis[[#This Row],[Position]],Position_Map!$A$2:$B$58,2,FALSE)</f>
        <v>Technical</v>
      </c>
      <c r="E33" s="6">
        <v>1</v>
      </c>
      <c r="F33" s="7">
        <v>126400</v>
      </c>
      <c r="G33" s="7">
        <v>100000</v>
      </c>
      <c r="H33" s="7"/>
      <c r="I33" s="7">
        <f>dataset!$F33-dataset!$J33-dataset!$G33-dataset!$H33</f>
        <v>18400</v>
      </c>
      <c r="J33" s="7">
        <f>dataset!$G33*0.08</f>
        <v>8000</v>
      </c>
      <c r="K33" s="7">
        <f>dataset!$F33*12</f>
        <v>1516800</v>
      </c>
      <c r="L33" s="12">
        <f>IF(dataset!$G33&gt;=200000,38%,IF(dataset!$G33&lt;=145000,12.3%,))</f>
        <v>0.12300000000000001</v>
      </c>
      <c r="M33" s="7">
        <f>dataset!$G33*L34*12</f>
        <v>147600.00000000003</v>
      </c>
      <c r="N3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3" s="7">
        <f>dataset!$K33+dataset!$M33</f>
        <v>1664400</v>
      </c>
      <c r="P33" s="7">
        <f>Payroll_Data_Analysis[[#This Row],[Annual Salary + KPI Bonus]]/12/29.3*31</f>
        <v>146747.44027303753</v>
      </c>
      <c r="Q33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3" s="7">
        <f>Payroll_Data_Analysis[[#This Row],[Monthly Salary]]*11</f>
        <v>1390400</v>
      </c>
      <c r="S33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3" s="7">
        <f>IF(Payroll_Data_Analysis[[#This Row],[Base Salary (Monthly)]]&gt;=200000,69507,IF(Payroll_Data_Analysis[[#This Row],[Base Salary (Monthly)]]&gt;=145000,52684,35103))</f>
        <v>35103</v>
      </c>
      <c r="U33" s="7">
        <f>Payroll_Data_Analysis[[#This Row],[Annual KPI Bonus Reserve]]+Payroll_Data_Analysis[[#This Row],[Vacation Reserve]]+Payroll_Data_Analysis[[#This Row],[11-Month Salary]]</f>
        <v>1684747.4402730376</v>
      </c>
      <c r="V33" s="7">
        <f>Payroll_Data_Analysis[[#This Row],[Payroll Taxes (KPI Bonus)]]+Payroll_Data_Analysis[[#This Row],[Payroll Taxes (Vacation)]]+Payroll_Data_Analysis[[#This Row],[Payroll Taxes (Salary)]]</f>
        <v>508793.72696245729</v>
      </c>
      <c r="W33" s="13">
        <f>Payroll_Data_Analysis[[#This Row],[Total Payroll]]+Payroll_Data_Analysis[[#This Row],[Total Payroll Taxes]]</f>
        <v>2193541.1672354951</v>
      </c>
    </row>
    <row r="34" spans="1:23">
      <c r="A34" s="11" t="s">
        <v>647</v>
      </c>
      <c r="B34" s="5" t="s">
        <v>37</v>
      </c>
      <c r="C34" s="5" t="s">
        <v>711</v>
      </c>
      <c r="D34" s="28" t="str">
        <f>VLOOKUP(Payroll_Data_Analysis[[#This Row],[Position]],Position_Map!$A$2:$B$58,2,FALSE)</f>
        <v>Technical</v>
      </c>
      <c r="E34" s="6">
        <v>1</v>
      </c>
      <c r="F34" s="7">
        <v>126400</v>
      </c>
      <c r="G34" s="7">
        <v>100000</v>
      </c>
      <c r="H34" s="7"/>
      <c r="I34" s="7">
        <f>dataset!$F34-dataset!$J34-dataset!$G34-dataset!$H34</f>
        <v>18400</v>
      </c>
      <c r="J34" s="7">
        <f>dataset!$G34*0.08</f>
        <v>8000</v>
      </c>
      <c r="K34" s="7">
        <f>dataset!$F34*12</f>
        <v>1516800</v>
      </c>
      <c r="L34" s="12">
        <f>IF(dataset!$G34&gt;=200000,38%,IF(dataset!$G34&lt;=145000,12.3%,))</f>
        <v>0.12300000000000001</v>
      </c>
      <c r="M34" s="7">
        <f>dataset!$G34*L35*12</f>
        <v>147600.00000000003</v>
      </c>
      <c r="N3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4" s="7">
        <f>dataset!$K34+dataset!$M34</f>
        <v>1664400</v>
      </c>
      <c r="P34" s="7">
        <f>Payroll_Data_Analysis[[#This Row],[Annual Salary + KPI Bonus]]/12/29.3*31</f>
        <v>146747.44027303753</v>
      </c>
      <c r="Q34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4" s="7">
        <f>Payroll_Data_Analysis[[#This Row],[Monthly Salary]]*11</f>
        <v>1390400</v>
      </c>
      <c r="S34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4" s="7">
        <f>IF(Payroll_Data_Analysis[[#This Row],[Base Salary (Monthly)]]&gt;=200000,69507,IF(Payroll_Data_Analysis[[#This Row],[Base Salary (Monthly)]]&gt;=145000,52684,35103))</f>
        <v>35103</v>
      </c>
      <c r="U34" s="7">
        <f>Payroll_Data_Analysis[[#This Row],[Annual KPI Bonus Reserve]]+Payroll_Data_Analysis[[#This Row],[Vacation Reserve]]+Payroll_Data_Analysis[[#This Row],[11-Month Salary]]</f>
        <v>1684747.4402730376</v>
      </c>
      <c r="V34" s="7">
        <f>Payroll_Data_Analysis[[#This Row],[Payroll Taxes (KPI Bonus)]]+Payroll_Data_Analysis[[#This Row],[Payroll Taxes (Vacation)]]+Payroll_Data_Analysis[[#This Row],[Payroll Taxes (Salary)]]</f>
        <v>508793.72696245729</v>
      </c>
      <c r="W34" s="13">
        <f>Payroll_Data_Analysis[[#This Row],[Total Payroll]]+Payroll_Data_Analysis[[#This Row],[Total Payroll Taxes]]</f>
        <v>2193541.1672354951</v>
      </c>
    </row>
    <row r="35" spans="1:23">
      <c r="A35" s="11" t="s">
        <v>647</v>
      </c>
      <c r="B35" s="5" t="s">
        <v>38</v>
      </c>
      <c r="C35" s="5" t="s">
        <v>711</v>
      </c>
      <c r="D35" s="28" t="str">
        <f>VLOOKUP(Payroll_Data_Analysis[[#This Row],[Position]],Position_Map!$A$2:$B$58,2,FALSE)</f>
        <v>Technical</v>
      </c>
      <c r="E35" s="6">
        <v>1</v>
      </c>
      <c r="F35" s="7">
        <v>126400</v>
      </c>
      <c r="G35" s="7">
        <v>100000</v>
      </c>
      <c r="H35" s="7"/>
      <c r="I35" s="7">
        <f>dataset!$F35-dataset!$J35-dataset!$G35-dataset!$H35</f>
        <v>18400</v>
      </c>
      <c r="J35" s="7">
        <f>dataset!$G35*0.08</f>
        <v>8000</v>
      </c>
      <c r="K35" s="7">
        <f>dataset!$F35*12</f>
        <v>1516800</v>
      </c>
      <c r="L35" s="12">
        <f>IF(dataset!$G35&gt;=200000,38%,IF(dataset!$G35&lt;=145000,12.3%,))</f>
        <v>0.12300000000000001</v>
      </c>
      <c r="M35" s="7">
        <f>dataset!$G35*L36*12</f>
        <v>147600.00000000003</v>
      </c>
      <c r="N3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5" s="7">
        <f>dataset!$K35+dataset!$M35</f>
        <v>1664400</v>
      </c>
      <c r="P35" s="7">
        <f>Payroll_Data_Analysis[[#This Row],[Annual Salary + KPI Bonus]]/12/29.3*31</f>
        <v>146747.44027303753</v>
      </c>
      <c r="Q35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5" s="7">
        <f>Payroll_Data_Analysis[[#This Row],[Monthly Salary]]*11</f>
        <v>1390400</v>
      </c>
      <c r="S35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5" s="7">
        <f>IF(Payroll_Data_Analysis[[#This Row],[Base Salary (Monthly)]]&gt;=200000,69507,IF(Payroll_Data_Analysis[[#This Row],[Base Salary (Monthly)]]&gt;=145000,52684,35103))</f>
        <v>35103</v>
      </c>
      <c r="U35" s="7">
        <f>Payroll_Data_Analysis[[#This Row],[Annual KPI Bonus Reserve]]+Payroll_Data_Analysis[[#This Row],[Vacation Reserve]]+Payroll_Data_Analysis[[#This Row],[11-Month Salary]]</f>
        <v>1684747.4402730376</v>
      </c>
      <c r="V35" s="7">
        <f>Payroll_Data_Analysis[[#This Row],[Payroll Taxes (KPI Bonus)]]+Payroll_Data_Analysis[[#This Row],[Payroll Taxes (Vacation)]]+Payroll_Data_Analysis[[#This Row],[Payroll Taxes (Salary)]]</f>
        <v>508793.72696245729</v>
      </c>
      <c r="W35" s="13">
        <f>Payroll_Data_Analysis[[#This Row],[Total Payroll]]+Payroll_Data_Analysis[[#This Row],[Total Payroll Taxes]]</f>
        <v>2193541.1672354951</v>
      </c>
    </row>
    <row r="36" spans="1:23">
      <c r="A36" s="11" t="s">
        <v>647</v>
      </c>
      <c r="B36" s="5" t="s">
        <v>39</v>
      </c>
      <c r="C36" s="5" t="s">
        <v>711</v>
      </c>
      <c r="D36" s="28" t="str">
        <f>VLOOKUP(Payroll_Data_Analysis[[#This Row],[Position]],Position_Map!$A$2:$B$58,2,FALSE)</f>
        <v>Technical</v>
      </c>
      <c r="E36" s="6">
        <v>1</v>
      </c>
      <c r="F36" s="7">
        <v>126400</v>
      </c>
      <c r="G36" s="7">
        <v>100000</v>
      </c>
      <c r="H36" s="7"/>
      <c r="I36" s="7">
        <f>dataset!$F36-dataset!$J36-dataset!$G36-dataset!$H36</f>
        <v>18400</v>
      </c>
      <c r="J36" s="7">
        <f>dataset!$G36*0.08</f>
        <v>8000</v>
      </c>
      <c r="K36" s="7">
        <f>dataset!$F36*12</f>
        <v>1516800</v>
      </c>
      <c r="L36" s="12">
        <f>IF(dataset!$G36&gt;=200000,38%,IF(dataset!$G36&lt;=145000,12.3%,))</f>
        <v>0.12300000000000001</v>
      </c>
      <c r="M36" s="7">
        <f>dataset!$G36*L37*12</f>
        <v>147600.00000000003</v>
      </c>
      <c r="N3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6" s="7">
        <f>dataset!$K36+dataset!$M36</f>
        <v>1664400</v>
      </c>
      <c r="P36" s="7">
        <f>Payroll_Data_Analysis[[#This Row],[Annual Salary + KPI Bonus]]/12/29.3*31</f>
        <v>146747.44027303753</v>
      </c>
      <c r="Q36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6" s="7">
        <f>Payroll_Data_Analysis[[#This Row],[Monthly Salary]]*11</f>
        <v>1390400</v>
      </c>
      <c r="S36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6" s="7">
        <f>IF(Payroll_Data_Analysis[[#This Row],[Base Salary (Monthly)]]&gt;=200000,69507,IF(Payroll_Data_Analysis[[#This Row],[Base Salary (Monthly)]]&gt;=145000,52684,35103))</f>
        <v>35103</v>
      </c>
      <c r="U36" s="7">
        <f>Payroll_Data_Analysis[[#This Row],[Annual KPI Bonus Reserve]]+Payroll_Data_Analysis[[#This Row],[Vacation Reserve]]+Payroll_Data_Analysis[[#This Row],[11-Month Salary]]</f>
        <v>1684747.4402730376</v>
      </c>
      <c r="V36" s="7">
        <f>Payroll_Data_Analysis[[#This Row],[Payroll Taxes (KPI Bonus)]]+Payroll_Data_Analysis[[#This Row],[Payroll Taxes (Vacation)]]+Payroll_Data_Analysis[[#This Row],[Payroll Taxes (Salary)]]</f>
        <v>508793.72696245729</v>
      </c>
      <c r="W36" s="13">
        <f>Payroll_Data_Analysis[[#This Row],[Total Payroll]]+Payroll_Data_Analysis[[#This Row],[Total Payroll Taxes]]</f>
        <v>2193541.1672354951</v>
      </c>
    </row>
    <row r="37" spans="1:23">
      <c r="A37" s="11" t="s">
        <v>647</v>
      </c>
      <c r="B37" s="5" t="s">
        <v>40</v>
      </c>
      <c r="C37" s="5" t="s">
        <v>711</v>
      </c>
      <c r="D37" s="28" t="str">
        <f>VLOOKUP(Payroll_Data_Analysis[[#This Row],[Position]],Position_Map!$A$2:$B$58,2,FALSE)</f>
        <v>Technical</v>
      </c>
      <c r="E37" s="6">
        <v>1</v>
      </c>
      <c r="F37" s="7">
        <v>126400</v>
      </c>
      <c r="G37" s="7">
        <v>100000</v>
      </c>
      <c r="H37" s="7"/>
      <c r="I37" s="7">
        <f>dataset!$F37-dataset!$J37-dataset!$G37-dataset!$H37</f>
        <v>18400</v>
      </c>
      <c r="J37" s="7">
        <f>dataset!$G37*0.08</f>
        <v>8000</v>
      </c>
      <c r="K37" s="7">
        <f>dataset!$F37*12</f>
        <v>1516800</v>
      </c>
      <c r="L37" s="12">
        <f>IF(dataset!$G37&gt;=200000,38%,IF(dataset!$G37&lt;=145000,12.3%,))</f>
        <v>0.12300000000000001</v>
      </c>
      <c r="M37" s="7">
        <f>dataset!$G37*L38*12</f>
        <v>147600.00000000003</v>
      </c>
      <c r="N3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7" s="7">
        <f>dataset!$K37+dataset!$M37</f>
        <v>1664400</v>
      </c>
      <c r="P37" s="7">
        <f>Payroll_Data_Analysis[[#This Row],[Annual Salary + KPI Bonus]]/12/29.3*31</f>
        <v>146747.44027303753</v>
      </c>
      <c r="Q37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7" s="7">
        <f>Payroll_Data_Analysis[[#This Row],[Monthly Salary]]*11</f>
        <v>1390400</v>
      </c>
      <c r="S37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7" s="7">
        <f>IF(Payroll_Data_Analysis[[#This Row],[Base Salary (Monthly)]]&gt;=200000,69507,IF(Payroll_Data_Analysis[[#This Row],[Base Salary (Monthly)]]&gt;=145000,52684,35103))</f>
        <v>35103</v>
      </c>
      <c r="U37" s="7">
        <f>Payroll_Data_Analysis[[#This Row],[Annual KPI Bonus Reserve]]+Payroll_Data_Analysis[[#This Row],[Vacation Reserve]]+Payroll_Data_Analysis[[#This Row],[11-Month Salary]]</f>
        <v>1684747.4402730376</v>
      </c>
      <c r="V37" s="7">
        <f>Payroll_Data_Analysis[[#This Row],[Payroll Taxes (KPI Bonus)]]+Payroll_Data_Analysis[[#This Row],[Payroll Taxes (Vacation)]]+Payroll_Data_Analysis[[#This Row],[Payroll Taxes (Salary)]]</f>
        <v>508793.72696245729</v>
      </c>
      <c r="W37" s="13">
        <f>Payroll_Data_Analysis[[#This Row],[Total Payroll]]+Payroll_Data_Analysis[[#This Row],[Total Payroll Taxes]]</f>
        <v>2193541.1672354951</v>
      </c>
    </row>
    <row r="38" spans="1:23">
      <c r="A38" s="11" t="s">
        <v>647</v>
      </c>
      <c r="B38" s="5" t="s">
        <v>41</v>
      </c>
      <c r="C38" s="5" t="s">
        <v>711</v>
      </c>
      <c r="D38" s="28" t="str">
        <f>VLOOKUP(Payroll_Data_Analysis[[#This Row],[Position]],Position_Map!$A$2:$B$58,2,FALSE)</f>
        <v>Technical</v>
      </c>
      <c r="E38" s="6">
        <v>1</v>
      </c>
      <c r="F38" s="7">
        <v>126400</v>
      </c>
      <c r="G38" s="7">
        <v>100000</v>
      </c>
      <c r="H38" s="7"/>
      <c r="I38" s="7">
        <f>dataset!$F38-dataset!$J38-dataset!$G38-dataset!$H38</f>
        <v>18400</v>
      </c>
      <c r="J38" s="7">
        <f>dataset!$G38*0.08</f>
        <v>8000</v>
      </c>
      <c r="K38" s="7">
        <f>dataset!$F38*12</f>
        <v>1516800</v>
      </c>
      <c r="L38" s="12">
        <f>IF(dataset!$G38&gt;=200000,38%,IF(dataset!$G38&lt;=145000,12.3%,))</f>
        <v>0.12300000000000001</v>
      </c>
      <c r="M38" s="7">
        <f>dataset!$G38*L39*12</f>
        <v>147600.00000000003</v>
      </c>
      <c r="N3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8" s="7">
        <f>dataset!$K38+dataset!$M38</f>
        <v>1664400</v>
      </c>
      <c r="P38" s="7">
        <f>Payroll_Data_Analysis[[#This Row],[Annual Salary + KPI Bonus]]/12/29.3*31</f>
        <v>146747.44027303753</v>
      </c>
      <c r="Q38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8" s="7">
        <f>Payroll_Data_Analysis[[#This Row],[Monthly Salary]]*11</f>
        <v>1390400</v>
      </c>
      <c r="S38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8" s="7">
        <f>IF(Payroll_Data_Analysis[[#This Row],[Base Salary (Monthly)]]&gt;=200000,69507,IF(Payroll_Data_Analysis[[#This Row],[Base Salary (Monthly)]]&gt;=145000,52684,35103))</f>
        <v>35103</v>
      </c>
      <c r="U38" s="7">
        <f>Payroll_Data_Analysis[[#This Row],[Annual KPI Bonus Reserve]]+Payroll_Data_Analysis[[#This Row],[Vacation Reserve]]+Payroll_Data_Analysis[[#This Row],[11-Month Salary]]</f>
        <v>1684747.4402730376</v>
      </c>
      <c r="V38" s="7">
        <f>Payroll_Data_Analysis[[#This Row],[Payroll Taxes (KPI Bonus)]]+Payroll_Data_Analysis[[#This Row],[Payroll Taxes (Vacation)]]+Payroll_Data_Analysis[[#This Row],[Payroll Taxes (Salary)]]</f>
        <v>508793.72696245729</v>
      </c>
      <c r="W38" s="13">
        <f>Payroll_Data_Analysis[[#This Row],[Total Payroll]]+Payroll_Data_Analysis[[#This Row],[Total Payroll Taxes]]</f>
        <v>2193541.1672354951</v>
      </c>
    </row>
    <row r="39" spans="1:23">
      <c r="A39" s="11" t="s">
        <v>647</v>
      </c>
      <c r="B39" s="5" t="s">
        <v>42</v>
      </c>
      <c r="C39" s="5" t="s">
        <v>711</v>
      </c>
      <c r="D39" s="28" t="str">
        <f>VLOOKUP(Payroll_Data_Analysis[[#This Row],[Position]],Position_Map!$A$2:$B$58,2,FALSE)</f>
        <v>Technical</v>
      </c>
      <c r="E39" s="6">
        <v>1</v>
      </c>
      <c r="F39" s="7">
        <v>126400</v>
      </c>
      <c r="G39" s="7">
        <v>100000</v>
      </c>
      <c r="H39" s="7"/>
      <c r="I39" s="7">
        <f>dataset!$F39-dataset!$J39-dataset!$G39-dataset!$H39</f>
        <v>18400</v>
      </c>
      <c r="J39" s="7">
        <f>dataset!$G39*0.08</f>
        <v>8000</v>
      </c>
      <c r="K39" s="7">
        <f>dataset!$F39*12</f>
        <v>1516800</v>
      </c>
      <c r="L39" s="12">
        <f>IF(dataset!$G39&gt;=200000,38%,IF(dataset!$G39&lt;=145000,12.3%,))</f>
        <v>0.12300000000000001</v>
      </c>
      <c r="M39" s="7">
        <f>dataset!$G39*L40*12</f>
        <v>147600.00000000003</v>
      </c>
      <c r="N3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9" s="7">
        <f>dataset!$K39+dataset!$M39</f>
        <v>1664400</v>
      </c>
      <c r="P39" s="7">
        <f>Payroll_Data_Analysis[[#This Row],[Annual Salary + KPI Bonus]]/12/29.3*31</f>
        <v>146747.44027303753</v>
      </c>
      <c r="Q39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9" s="7">
        <f>Payroll_Data_Analysis[[#This Row],[Monthly Salary]]*11</f>
        <v>1390400</v>
      </c>
      <c r="S39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9" s="7">
        <f>IF(Payroll_Data_Analysis[[#This Row],[Base Salary (Monthly)]]&gt;=200000,69507,IF(Payroll_Data_Analysis[[#This Row],[Base Salary (Monthly)]]&gt;=145000,52684,35103))</f>
        <v>35103</v>
      </c>
      <c r="U39" s="7">
        <f>Payroll_Data_Analysis[[#This Row],[Annual KPI Bonus Reserve]]+Payroll_Data_Analysis[[#This Row],[Vacation Reserve]]+Payroll_Data_Analysis[[#This Row],[11-Month Salary]]</f>
        <v>1684747.4402730376</v>
      </c>
      <c r="V39" s="7">
        <f>Payroll_Data_Analysis[[#This Row],[Payroll Taxes (KPI Bonus)]]+Payroll_Data_Analysis[[#This Row],[Payroll Taxes (Vacation)]]+Payroll_Data_Analysis[[#This Row],[Payroll Taxes (Salary)]]</f>
        <v>508793.72696245729</v>
      </c>
      <c r="W39" s="13">
        <f>Payroll_Data_Analysis[[#This Row],[Total Payroll]]+Payroll_Data_Analysis[[#This Row],[Total Payroll Taxes]]</f>
        <v>2193541.1672354951</v>
      </c>
    </row>
    <row r="40" spans="1:23">
      <c r="A40" s="11" t="s">
        <v>647</v>
      </c>
      <c r="B40" s="5" t="s">
        <v>43</v>
      </c>
      <c r="C40" s="5" t="s">
        <v>711</v>
      </c>
      <c r="D40" s="28" t="str">
        <f>VLOOKUP(Payroll_Data_Analysis[[#This Row],[Position]],Position_Map!$A$2:$B$58,2,FALSE)</f>
        <v>Technical</v>
      </c>
      <c r="E40" s="6">
        <v>1</v>
      </c>
      <c r="F40" s="7">
        <v>136400</v>
      </c>
      <c r="G40" s="7">
        <v>100000</v>
      </c>
      <c r="H40" s="7"/>
      <c r="I40" s="7">
        <f>dataset!$F40-dataset!$J40-dataset!$G40-dataset!$H40</f>
        <v>28400</v>
      </c>
      <c r="J40" s="7">
        <f>dataset!$G40*0.08</f>
        <v>8000</v>
      </c>
      <c r="K40" s="7">
        <f>dataset!$F40*12</f>
        <v>1636800</v>
      </c>
      <c r="L40" s="12">
        <f>IF(dataset!$G40&gt;=200000,38%,IF(dataset!$G40&lt;=145000,12.3%,))</f>
        <v>0.12300000000000001</v>
      </c>
      <c r="M40" s="7">
        <f>dataset!$G40*L41*12</f>
        <v>147600.00000000003</v>
      </c>
      <c r="N4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0" s="7">
        <f>dataset!$K40+dataset!$M40</f>
        <v>1784400</v>
      </c>
      <c r="P40" s="7">
        <f>Payroll_Data_Analysis[[#This Row],[Annual Salary + KPI Bonus]]/12/29.3*31</f>
        <v>157327.64505119453</v>
      </c>
      <c r="Q40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40" s="7">
        <f>Payroll_Data_Analysis[[#This Row],[Monthly Salary]]*11</f>
        <v>1500400</v>
      </c>
      <c r="S40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40" s="7">
        <f>IF(Payroll_Data_Analysis[[#This Row],[Base Salary (Monthly)]]&gt;=200000,69507,IF(Payroll_Data_Analysis[[#This Row],[Base Salary (Monthly)]]&gt;=145000,52684,35103))</f>
        <v>35103</v>
      </c>
      <c r="U40" s="7">
        <f>Payroll_Data_Analysis[[#This Row],[Annual KPI Bonus Reserve]]+Payroll_Data_Analysis[[#This Row],[Vacation Reserve]]+Payroll_Data_Analysis[[#This Row],[11-Month Salary]]</f>
        <v>1805327.6450511946</v>
      </c>
      <c r="V40" s="7">
        <f>Payroll_Data_Analysis[[#This Row],[Payroll Taxes (KPI Bonus)]]+Payroll_Data_Analysis[[#This Row],[Payroll Taxes (Vacation)]]+Payroll_Data_Analysis[[#This Row],[Payroll Taxes (Salary)]]</f>
        <v>545208.94880546071</v>
      </c>
      <c r="W40" s="13">
        <f>Payroll_Data_Analysis[[#This Row],[Total Payroll]]+Payroll_Data_Analysis[[#This Row],[Total Payroll Taxes]]</f>
        <v>2350536.5938566551</v>
      </c>
    </row>
    <row r="41" spans="1:23">
      <c r="A41" s="11" t="s">
        <v>647</v>
      </c>
      <c r="B41" s="5" t="s">
        <v>44</v>
      </c>
      <c r="C41" s="5" t="s">
        <v>711</v>
      </c>
      <c r="D41" s="28" t="str">
        <f>VLOOKUP(Payroll_Data_Analysis[[#This Row],[Position]],Position_Map!$A$2:$B$58,2,FALSE)</f>
        <v>Technical</v>
      </c>
      <c r="E41" s="6">
        <v>1</v>
      </c>
      <c r="F41" s="7">
        <v>146400</v>
      </c>
      <c r="G41" s="7">
        <v>100000</v>
      </c>
      <c r="H41" s="7"/>
      <c r="I41" s="7">
        <f>dataset!$F41-dataset!$J41-dataset!$G41-dataset!$H41</f>
        <v>38400</v>
      </c>
      <c r="J41" s="7">
        <f>dataset!$G41*0.08</f>
        <v>8000</v>
      </c>
      <c r="K41" s="7">
        <f>dataset!$F41*12</f>
        <v>1756800</v>
      </c>
      <c r="L41" s="12">
        <f>IF(dataset!$G41&gt;=200000,38%,IF(dataset!$G41&lt;=145000,12.3%,))</f>
        <v>0.12300000000000001</v>
      </c>
      <c r="M41" s="7">
        <f>dataset!$G41*L42*12</f>
        <v>147600.00000000003</v>
      </c>
      <c r="N4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1" s="7">
        <f>dataset!$K41+dataset!$M41</f>
        <v>1904400</v>
      </c>
      <c r="P41" s="7">
        <f>Payroll_Data_Analysis[[#This Row],[Annual Salary + KPI Bonus]]/12/29.3*31</f>
        <v>167907.84982935153</v>
      </c>
      <c r="Q41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1" s="7">
        <f>Payroll_Data_Analysis[[#This Row],[Monthly Salary]]*11</f>
        <v>1610400</v>
      </c>
      <c r="S41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1" s="7">
        <f>IF(Payroll_Data_Analysis[[#This Row],[Base Salary (Monthly)]]&gt;=200000,69507,IF(Payroll_Data_Analysis[[#This Row],[Base Salary (Monthly)]]&gt;=145000,52684,35103))</f>
        <v>35103</v>
      </c>
      <c r="U41" s="7">
        <f>Payroll_Data_Analysis[[#This Row],[Annual KPI Bonus Reserve]]+Payroll_Data_Analysis[[#This Row],[Vacation Reserve]]+Payroll_Data_Analysis[[#This Row],[11-Month Salary]]</f>
        <v>1925907.8498293515</v>
      </c>
      <c r="V41" s="7">
        <f>Payroll_Data_Analysis[[#This Row],[Payroll Taxes (KPI Bonus)]]+Payroll_Data_Analysis[[#This Row],[Payroll Taxes (Vacation)]]+Payroll_Data_Analysis[[#This Row],[Payroll Taxes (Salary)]]</f>
        <v>581624.17064846412</v>
      </c>
      <c r="W41" s="13">
        <f>Payroll_Data_Analysis[[#This Row],[Total Payroll]]+Payroll_Data_Analysis[[#This Row],[Total Payroll Taxes]]</f>
        <v>2507532.0204778155</v>
      </c>
    </row>
    <row r="42" spans="1:23">
      <c r="A42" s="11" t="s">
        <v>647</v>
      </c>
      <c r="B42" s="5" t="s">
        <v>45</v>
      </c>
      <c r="C42" s="5" t="s">
        <v>711</v>
      </c>
      <c r="D42" s="28" t="str">
        <f>VLOOKUP(Payroll_Data_Analysis[[#This Row],[Position]],Position_Map!$A$2:$B$58,2,FALSE)</f>
        <v>Technical</v>
      </c>
      <c r="E42" s="6">
        <v>1</v>
      </c>
      <c r="F42" s="7">
        <v>146400</v>
      </c>
      <c r="G42" s="7">
        <v>100000</v>
      </c>
      <c r="H42" s="7"/>
      <c r="I42" s="7">
        <f>dataset!$F42-dataset!$J42-dataset!$G42-dataset!$H42</f>
        <v>38400</v>
      </c>
      <c r="J42" s="7">
        <f>dataset!$G42*0.08</f>
        <v>8000</v>
      </c>
      <c r="K42" s="7">
        <f>dataset!$F42*12</f>
        <v>1756800</v>
      </c>
      <c r="L42" s="12">
        <f>IF(dataset!$G42&gt;=200000,38%,IF(dataset!$G42&lt;=145000,12.3%,))</f>
        <v>0.12300000000000001</v>
      </c>
      <c r="M42" s="7">
        <f>dataset!$G42*L43*12</f>
        <v>147600.00000000003</v>
      </c>
      <c r="N4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2" s="7">
        <f>dataset!$K42+dataset!$M42</f>
        <v>1904400</v>
      </c>
      <c r="P42" s="7">
        <f>Payroll_Data_Analysis[[#This Row],[Annual Salary + KPI Bonus]]/12/29.3*31</f>
        <v>167907.84982935153</v>
      </c>
      <c r="Q42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2" s="7">
        <f>Payroll_Data_Analysis[[#This Row],[Monthly Salary]]*11</f>
        <v>1610400</v>
      </c>
      <c r="S42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2" s="7">
        <f>IF(Payroll_Data_Analysis[[#This Row],[Base Salary (Monthly)]]&gt;=200000,69507,IF(Payroll_Data_Analysis[[#This Row],[Base Salary (Monthly)]]&gt;=145000,52684,35103))</f>
        <v>35103</v>
      </c>
      <c r="U42" s="7">
        <f>Payroll_Data_Analysis[[#This Row],[Annual KPI Bonus Reserve]]+Payroll_Data_Analysis[[#This Row],[Vacation Reserve]]+Payroll_Data_Analysis[[#This Row],[11-Month Salary]]</f>
        <v>1925907.8498293515</v>
      </c>
      <c r="V42" s="7">
        <f>Payroll_Data_Analysis[[#This Row],[Payroll Taxes (KPI Bonus)]]+Payroll_Data_Analysis[[#This Row],[Payroll Taxes (Vacation)]]+Payroll_Data_Analysis[[#This Row],[Payroll Taxes (Salary)]]</f>
        <v>581624.17064846412</v>
      </c>
      <c r="W42" s="13">
        <f>Payroll_Data_Analysis[[#This Row],[Total Payroll]]+Payroll_Data_Analysis[[#This Row],[Total Payroll Taxes]]</f>
        <v>2507532.0204778155</v>
      </c>
    </row>
    <row r="43" spans="1:23">
      <c r="A43" s="11" t="s">
        <v>647</v>
      </c>
      <c r="B43" s="5" t="s">
        <v>46</v>
      </c>
      <c r="C43" s="5" t="s">
        <v>711</v>
      </c>
      <c r="D43" s="28" t="str">
        <f>VLOOKUP(Payroll_Data_Analysis[[#This Row],[Position]],Position_Map!$A$2:$B$58,2,FALSE)</f>
        <v>Technical</v>
      </c>
      <c r="E43" s="6">
        <v>1</v>
      </c>
      <c r="F43" s="7">
        <v>146400</v>
      </c>
      <c r="G43" s="7">
        <v>100000</v>
      </c>
      <c r="H43" s="7"/>
      <c r="I43" s="7">
        <f>dataset!$F43-dataset!$J43-dataset!$G43-dataset!$H43</f>
        <v>38400</v>
      </c>
      <c r="J43" s="7">
        <f>dataset!$G43*0.08</f>
        <v>8000</v>
      </c>
      <c r="K43" s="7">
        <f>dataset!$F43*12</f>
        <v>1756800</v>
      </c>
      <c r="L43" s="12">
        <f>IF(dataset!$G43&gt;=200000,38%,IF(dataset!$G43&lt;=145000,12.3%,))</f>
        <v>0.12300000000000001</v>
      </c>
      <c r="M43" s="7">
        <f>dataset!$G43*L44*12</f>
        <v>147600.00000000003</v>
      </c>
      <c r="N4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3" s="7">
        <f>dataset!$K43+dataset!$M43</f>
        <v>1904400</v>
      </c>
      <c r="P43" s="7">
        <f>Payroll_Data_Analysis[[#This Row],[Annual Salary + KPI Bonus]]/12/29.3*31</f>
        <v>167907.84982935153</v>
      </c>
      <c r="Q43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3" s="7">
        <f>Payroll_Data_Analysis[[#This Row],[Monthly Salary]]*11</f>
        <v>1610400</v>
      </c>
      <c r="S43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3" s="7">
        <f>IF(Payroll_Data_Analysis[[#This Row],[Base Salary (Monthly)]]&gt;=200000,69507,IF(Payroll_Data_Analysis[[#This Row],[Base Salary (Monthly)]]&gt;=145000,52684,35103))</f>
        <v>35103</v>
      </c>
      <c r="U43" s="7">
        <f>Payroll_Data_Analysis[[#This Row],[Annual KPI Bonus Reserve]]+Payroll_Data_Analysis[[#This Row],[Vacation Reserve]]+Payroll_Data_Analysis[[#This Row],[11-Month Salary]]</f>
        <v>1925907.8498293515</v>
      </c>
      <c r="V43" s="7">
        <f>Payroll_Data_Analysis[[#This Row],[Payroll Taxes (KPI Bonus)]]+Payroll_Data_Analysis[[#This Row],[Payroll Taxes (Vacation)]]+Payroll_Data_Analysis[[#This Row],[Payroll Taxes (Salary)]]</f>
        <v>581624.17064846412</v>
      </c>
      <c r="W43" s="13">
        <f>Payroll_Data_Analysis[[#This Row],[Total Payroll]]+Payroll_Data_Analysis[[#This Row],[Total Payroll Taxes]]</f>
        <v>2507532.0204778155</v>
      </c>
    </row>
    <row r="44" spans="1:23">
      <c r="A44" s="11" t="s">
        <v>647</v>
      </c>
      <c r="B44" s="5" t="s">
        <v>47</v>
      </c>
      <c r="C44" s="5" t="s">
        <v>711</v>
      </c>
      <c r="D44" s="28" t="str">
        <f>VLOOKUP(Payroll_Data_Analysis[[#This Row],[Position]],Position_Map!$A$2:$B$58,2,FALSE)</f>
        <v>Technical</v>
      </c>
      <c r="E44" s="6">
        <v>1</v>
      </c>
      <c r="F44" s="7">
        <v>146400</v>
      </c>
      <c r="G44" s="7">
        <v>100000</v>
      </c>
      <c r="H44" s="7"/>
      <c r="I44" s="7">
        <f>dataset!$F44-dataset!$J44-dataset!$G44-dataset!$H44</f>
        <v>38400</v>
      </c>
      <c r="J44" s="7">
        <f>dataset!$G44*0.08</f>
        <v>8000</v>
      </c>
      <c r="K44" s="7">
        <f>dataset!$F44*12</f>
        <v>1756800</v>
      </c>
      <c r="L44" s="12">
        <f>IF(dataset!$G44&gt;=200000,38%,IF(dataset!$G44&lt;=145000,12.3%,))</f>
        <v>0.12300000000000001</v>
      </c>
      <c r="M44" s="7">
        <f>dataset!$G44*L45*12</f>
        <v>147600.00000000003</v>
      </c>
      <c r="N4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4" s="7">
        <f>dataset!$K44+dataset!$M44</f>
        <v>1904400</v>
      </c>
      <c r="P44" s="7">
        <f>Payroll_Data_Analysis[[#This Row],[Annual Salary + KPI Bonus]]/12/29.3*31</f>
        <v>167907.84982935153</v>
      </c>
      <c r="Q44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4" s="7">
        <f>Payroll_Data_Analysis[[#This Row],[Monthly Salary]]*11</f>
        <v>1610400</v>
      </c>
      <c r="S44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4" s="7">
        <f>IF(Payroll_Data_Analysis[[#This Row],[Base Salary (Monthly)]]&gt;=200000,69507,IF(Payroll_Data_Analysis[[#This Row],[Base Salary (Monthly)]]&gt;=145000,52684,35103))</f>
        <v>35103</v>
      </c>
      <c r="U44" s="7">
        <f>Payroll_Data_Analysis[[#This Row],[Annual KPI Bonus Reserve]]+Payroll_Data_Analysis[[#This Row],[Vacation Reserve]]+Payroll_Data_Analysis[[#This Row],[11-Month Salary]]</f>
        <v>1925907.8498293515</v>
      </c>
      <c r="V44" s="7">
        <f>Payroll_Data_Analysis[[#This Row],[Payroll Taxes (KPI Bonus)]]+Payroll_Data_Analysis[[#This Row],[Payroll Taxes (Vacation)]]+Payroll_Data_Analysis[[#This Row],[Payroll Taxes (Salary)]]</f>
        <v>581624.17064846412</v>
      </c>
      <c r="W44" s="13">
        <f>Payroll_Data_Analysis[[#This Row],[Total Payroll]]+Payroll_Data_Analysis[[#This Row],[Total Payroll Taxes]]</f>
        <v>2507532.0204778155</v>
      </c>
    </row>
    <row r="45" spans="1:23">
      <c r="A45" s="11" t="s">
        <v>647</v>
      </c>
      <c r="B45" s="5" t="s">
        <v>48</v>
      </c>
      <c r="C45" s="5" t="s">
        <v>711</v>
      </c>
      <c r="D45" s="28" t="str">
        <f>VLOOKUP(Payroll_Data_Analysis[[#This Row],[Position]],Position_Map!$A$2:$B$58,2,FALSE)</f>
        <v>Technical</v>
      </c>
      <c r="E45" s="6">
        <v>1</v>
      </c>
      <c r="F45" s="7">
        <v>146400</v>
      </c>
      <c r="G45" s="7">
        <v>100000</v>
      </c>
      <c r="H45" s="7"/>
      <c r="I45" s="7">
        <f>dataset!$F45-dataset!$J45-dataset!$G45-dataset!$H45</f>
        <v>38400</v>
      </c>
      <c r="J45" s="7">
        <f>dataset!$G45*0.08</f>
        <v>8000</v>
      </c>
      <c r="K45" s="7">
        <f>dataset!$F45*12</f>
        <v>1756800</v>
      </c>
      <c r="L45" s="12">
        <f>IF(dataset!$G45&gt;=200000,38%,IF(dataset!$G45&lt;=145000,12.3%,))</f>
        <v>0.12300000000000001</v>
      </c>
      <c r="M45" s="7">
        <f>dataset!$G45*L46*12</f>
        <v>147600.00000000003</v>
      </c>
      <c r="N4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5" s="7">
        <f>dataset!$K45+dataset!$M45</f>
        <v>1904400</v>
      </c>
      <c r="P45" s="7">
        <f>Payroll_Data_Analysis[[#This Row],[Annual Salary + KPI Bonus]]/12/29.3*31</f>
        <v>167907.84982935153</v>
      </c>
      <c r="Q45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5" s="7">
        <f>Payroll_Data_Analysis[[#This Row],[Monthly Salary]]*11</f>
        <v>1610400</v>
      </c>
      <c r="S45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5" s="7">
        <f>IF(Payroll_Data_Analysis[[#This Row],[Base Salary (Monthly)]]&gt;=200000,69507,IF(Payroll_Data_Analysis[[#This Row],[Base Salary (Monthly)]]&gt;=145000,52684,35103))</f>
        <v>35103</v>
      </c>
      <c r="U45" s="7">
        <f>Payroll_Data_Analysis[[#This Row],[Annual KPI Bonus Reserve]]+Payroll_Data_Analysis[[#This Row],[Vacation Reserve]]+Payroll_Data_Analysis[[#This Row],[11-Month Salary]]</f>
        <v>1925907.8498293515</v>
      </c>
      <c r="V45" s="7">
        <f>Payroll_Data_Analysis[[#This Row],[Payroll Taxes (KPI Bonus)]]+Payroll_Data_Analysis[[#This Row],[Payroll Taxes (Vacation)]]+Payroll_Data_Analysis[[#This Row],[Payroll Taxes (Salary)]]</f>
        <v>581624.17064846412</v>
      </c>
      <c r="W45" s="13">
        <f>Payroll_Data_Analysis[[#This Row],[Total Payroll]]+Payroll_Data_Analysis[[#This Row],[Total Payroll Taxes]]</f>
        <v>2507532.0204778155</v>
      </c>
    </row>
    <row r="46" spans="1:23">
      <c r="A46" s="11" t="s">
        <v>647</v>
      </c>
      <c r="B46" s="5" t="s">
        <v>49</v>
      </c>
      <c r="C46" s="5" t="s">
        <v>711</v>
      </c>
      <c r="D46" s="28" t="str">
        <f>VLOOKUP(Payroll_Data_Analysis[[#This Row],[Position]],Position_Map!$A$2:$B$58,2,FALSE)</f>
        <v>Technical</v>
      </c>
      <c r="E46" s="6">
        <v>1</v>
      </c>
      <c r="F46" s="7">
        <v>146400</v>
      </c>
      <c r="G46" s="7">
        <v>100000</v>
      </c>
      <c r="H46" s="7"/>
      <c r="I46" s="7">
        <f>dataset!$F46-dataset!$J46-dataset!$G46-dataset!$H46</f>
        <v>38400</v>
      </c>
      <c r="J46" s="7">
        <f>dataset!$G46*0.08</f>
        <v>8000</v>
      </c>
      <c r="K46" s="7">
        <f>dataset!$F46*12</f>
        <v>1756800</v>
      </c>
      <c r="L46" s="12">
        <f>IF(dataset!$G46&gt;=200000,38%,IF(dataset!$G46&lt;=145000,12.3%,))</f>
        <v>0.12300000000000001</v>
      </c>
      <c r="M46" s="7">
        <f>dataset!$G46*L47*12</f>
        <v>147600.00000000003</v>
      </c>
      <c r="N4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6" s="7">
        <f>dataset!$K46+dataset!$M46</f>
        <v>1904400</v>
      </c>
      <c r="P46" s="7">
        <f>Payroll_Data_Analysis[[#This Row],[Annual Salary + KPI Bonus]]/12/29.3*31</f>
        <v>167907.84982935153</v>
      </c>
      <c r="Q46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6" s="7">
        <f>Payroll_Data_Analysis[[#This Row],[Monthly Salary]]*11</f>
        <v>1610400</v>
      </c>
      <c r="S46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6" s="7">
        <f>IF(Payroll_Data_Analysis[[#This Row],[Base Salary (Monthly)]]&gt;=200000,69507,IF(Payroll_Data_Analysis[[#This Row],[Base Salary (Monthly)]]&gt;=145000,52684,35103))</f>
        <v>35103</v>
      </c>
      <c r="U46" s="7">
        <f>Payroll_Data_Analysis[[#This Row],[Annual KPI Bonus Reserve]]+Payroll_Data_Analysis[[#This Row],[Vacation Reserve]]+Payroll_Data_Analysis[[#This Row],[11-Month Salary]]</f>
        <v>1925907.8498293515</v>
      </c>
      <c r="V46" s="7">
        <f>Payroll_Data_Analysis[[#This Row],[Payroll Taxes (KPI Bonus)]]+Payroll_Data_Analysis[[#This Row],[Payroll Taxes (Vacation)]]+Payroll_Data_Analysis[[#This Row],[Payroll Taxes (Salary)]]</f>
        <v>581624.17064846412</v>
      </c>
      <c r="W46" s="13">
        <f>Payroll_Data_Analysis[[#This Row],[Total Payroll]]+Payroll_Data_Analysis[[#This Row],[Total Payroll Taxes]]</f>
        <v>2507532.0204778155</v>
      </c>
    </row>
    <row r="47" spans="1:23">
      <c r="A47" s="11" t="s">
        <v>647</v>
      </c>
      <c r="B47" s="5" t="s">
        <v>50</v>
      </c>
      <c r="C47" s="5" t="s">
        <v>711</v>
      </c>
      <c r="D47" s="28" t="str">
        <f>VLOOKUP(Payroll_Data_Analysis[[#This Row],[Position]],Position_Map!$A$2:$B$58,2,FALSE)</f>
        <v>Technical</v>
      </c>
      <c r="E47" s="6">
        <v>1</v>
      </c>
      <c r="F47" s="7">
        <v>136400</v>
      </c>
      <c r="G47" s="7">
        <v>100000</v>
      </c>
      <c r="H47" s="7"/>
      <c r="I47" s="7">
        <f>dataset!$F47-dataset!$J47-dataset!$G47-dataset!$H47</f>
        <v>28400</v>
      </c>
      <c r="J47" s="7">
        <f>dataset!$G47*0.08</f>
        <v>8000</v>
      </c>
      <c r="K47" s="7">
        <f>dataset!$F47*12</f>
        <v>1636800</v>
      </c>
      <c r="L47" s="12">
        <f>IF(dataset!$G47&gt;=200000,38%,IF(dataset!$G47&lt;=145000,12.3%,))</f>
        <v>0.12300000000000001</v>
      </c>
      <c r="M47" s="7">
        <f>dataset!$G47*L48*12</f>
        <v>147600.00000000003</v>
      </c>
      <c r="N4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7" s="7">
        <f>dataset!$K47+dataset!$M47</f>
        <v>1784400</v>
      </c>
      <c r="P47" s="7">
        <f>Payroll_Data_Analysis[[#This Row],[Annual Salary + KPI Bonus]]/12/29.3*31</f>
        <v>157327.64505119453</v>
      </c>
      <c r="Q47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47" s="7">
        <f>Payroll_Data_Analysis[[#This Row],[Monthly Salary]]*11</f>
        <v>1500400</v>
      </c>
      <c r="S47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47" s="7">
        <f>IF(Payroll_Data_Analysis[[#This Row],[Base Salary (Monthly)]]&gt;=200000,69507,IF(Payroll_Data_Analysis[[#This Row],[Base Salary (Monthly)]]&gt;=145000,52684,35103))</f>
        <v>35103</v>
      </c>
      <c r="U47" s="7">
        <f>Payroll_Data_Analysis[[#This Row],[Annual KPI Bonus Reserve]]+Payroll_Data_Analysis[[#This Row],[Vacation Reserve]]+Payroll_Data_Analysis[[#This Row],[11-Month Salary]]</f>
        <v>1805327.6450511946</v>
      </c>
      <c r="V47" s="7">
        <f>Payroll_Data_Analysis[[#This Row],[Payroll Taxes (KPI Bonus)]]+Payroll_Data_Analysis[[#This Row],[Payroll Taxes (Vacation)]]+Payroll_Data_Analysis[[#This Row],[Payroll Taxes (Salary)]]</f>
        <v>545208.94880546071</v>
      </c>
      <c r="W47" s="13">
        <f>Payroll_Data_Analysis[[#This Row],[Total Payroll]]+Payroll_Data_Analysis[[#This Row],[Total Payroll Taxes]]</f>
        <v>2350536.5938566551</v>
      </c>
    </row>
    <row r="48" spans="1:23">
      <c r="A48" s="11" t="s">
        <v>647</v>
      </c>
      <c r="B48" s="5" t="s">
        <v>51</v>
      </c>
      <c r="C48" s="5" t="s">
        <v>711</v>
      </c>
      <c r="D48" s="28" t="str">
        <f>VLOOKUP(Payroll_Data_Analysis[[#This Row],[Position]],Position_Map!$A$2:$B$58,2,FALSE)</f>
        <v>Technical</v>
      </c>
      <c r="E48" s="6">
        <v>1</v>
      </c>
      <c r="F48" s="7">
        <v>146400</v>
      </c>
      <c r="G48" s="7">
        <v>100000</v>
      </c>
      <c r="H48" s="7"/>
      <c r="I48" s="7">
        <f>dataset!$F48-dataset!$J48-dataset!$G48-dataset!$H48</f>
        <v>38400</v>
      </c>
      <c r="J48" s="7">
        <f>dataset!$G48*0.08</f>
        <v>8000</v>
      </c>
      <c r="K48" s="7">
        <f>dataset!$F48*12</f>
        <v>1756800</v>
      </c>
      <c r="L48" s="12">
        <f>IF(dataset!$G48&gt;=200000,38%,IF(dataset!$G48&lt;=145000,12.3%,))</f>
        <v>0.12300000000000001</v>
      </c>
      <c r="M48" s="7">
        <f>dataset!$G48*L49*12</f>
        <v>147600.00000000003</v>
      </c>
      <c r="N4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8" s="7">
        <f>dataset!$K48+dataset!$M48</f>
        <v>1904400</v>
      </c>
      <c r="P48" s="7">
        <f>Payroll_Data_Analysis[[#This Row],[Annual Salary + KPI Bonus]]/12/29.3*31</f>
        <v>167907.84982935153</v>
      </c>
      <c r="Q48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48" s="7">
        <f>Payroll_Data_Analysis[[#This Row],[Monthly Salary]]*11</f>
        <v>1610400</v>
      </c>
      <c r="S48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48" s="7">
        <f>IF(Payroll_Data_Analysis[[#This Row],[Base Salary (Monthly)]]&gt;=200000,69507,IF(Payroll_Data_Analysis[[#This Row],[Base Salary (Monthly)]]&gt;=145000,52684,35103))</f>
        <v>35103</v>
      </c>
      <c r="U48" s="7">
        <f>Payroll_Data_Analysis[[#This Row],[Annual KPI Bonus Reserve]]+Payroll_Data_Analysis[[#This Row],[Vacation Reserve]]+Payroll_Data_Analysis[[#This Row],[11-Month Salary]]</f>
        <v>1925907.8498293515</v>
      </c>
      <c r="V48" s="7">
        <f>Payroll_Data_Analysis[[#This Row],[Payroll Taxes (KPI Bonus)]]+Payroll_Data_Analysis[[#This Row],[Payroll Taxes (Vacation)]]+Payroll_Data_Analysis[[#This Row],[Payroll Taxes (Salary)]]</f>
        <v>581624.17064846412</v>
      </c>
      <c r="W48" s="13">
        <f>Payroll_Data_Analysis[[#This Row],[Total Payroll]]+Payroll_Data_Analysis[[#This Row],[Total Payroll Taxes]]</f>
        <v>2507532.0204778155</v>
      </c>
    </row>
    <row r="49" spans="1:23">
      <c r="A49" s="11" t="s">
        <v>647</v>
      </c>
      <c r="B49" s="5" t="s">
        <v>52</v>
      </c>
      <c r="C49" s="5" t="s">
        <v>711</v>
      </c>
      <c r="D49" s="28" t="str">
        <f>VLOOKUP(Payroll_Data_Analysis[[#This Row],[Position]],Position_Map!$A$2:$B$58,2,FALSE)</f>
        <v>Technical</v>
      </c>
      <c r="E49" s="6">
        <v>1</v>
      </c>
      <c r="F49" s="7">
        <v>136400</v>
      </c>
      <c r="G49" s="7">
        <v>100000</v>
      </c>
      <c r="H49" s="7"/>
      <c r="I49" s="7">
        <f>dataset!$F49-dataset!$J49-dataset!$G49-dataset!$H49</f>
        <v>28400</v>
      </c>
      <c r="J49" s="7">
        <f>dataset!$G49*0.08</f>
        <v>8000</v>
      </c>
      <c r="K49" s="7">
        <f>dataset!$F49*12</f>
        <v>1636800</v>
      </c>
      <c r="L49" s="12">
        <f>IF(dataset!$G49&gt;=200000,38%,IF(dataset!$G49&lt;=145000,12.3%,))</f>
        <v>0.12300000000000001</v>
      </c>
      <c r="M49" s="7">
        <f>dataset!$G49*L50*12</f>
        <v>147600.00000000003</v>
      </c>
      <c r="N4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9" s="7">
        <f>dataset!$K49+dataset!$M49</f>
        <v>1784400</v>
      </c>
      <c r="P49" s="7">
        <f>Payroll_Data_Analysis[[#This Row],[Annual Salary + KPI Bonus]]/12/29.3*31</f>
        <v>157327.64505119453</v>
      </c>
      <c r="Q49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49" s="7">
        <f>Payroll_Data_Analysis[[#This Row],[Monthly Salary]]*11</f>
        <v>1500400</v>
      </c>
      <c r="S49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49" s="7">
        <f>IF(Payroll_Data_Analysis[[#This Row],[Base Salary (Monthly)]]&gt;=200000,69507,IF(Payroll_Data_Analysis[[#This Row],[Base Salary (Monthly)]]&gt;=145000,52684,35103))</f>
        <v>35103</v>
      </c>
      <c r="U49" s="7">
        <f>Payroll_Data_Analysis[[#This Row],[Annual KPI Bonus Reserve]]+Payroll_Data_Analysis[[#This Row],[Vacation Reserve]]+Payroll_Data_Analysis[[#This Row],[11-Month Salary]]</f>
        <v>1805327.6450511946</v>
      </c>
      <c r="V49" s="7">
        <f>Payroll_Data_Analysis[[#This Row],[Payroll Taxes (KPI Bonus)]]+Payroll_Data_Analysis[[#This Row],[Payroll Taxes (Vacation)]]+Payroll_Data_Analysis[[#This Row],[Payroll Taxes (Salary)]]</f>
        <v>545208.94880546071</v>
      </c>
      <c r="W49" s="13">
        <f>Payroll_Data_Analysis[[#This Row],[Total Payroll]]+Payroll_Data_Analysis[[#This Row],[Total Payroll Taxes]]</f>
        <v>2350536.5938566551</v>
      </c>
    </row>
    <row r="50" spans="1:23">
      <c r="A50" s="11" t="s">
        <v>647</v>
      </c>
      <c r="B50" s="5" t="s">
        <v>53</v>
      </c>
      <c r="C50" s="5" t="s">
        <v>711</v>
      </c>
      <c r="D50" s="28" t="str">
        <f>VLOOKUP(Payroll_Data_Analysis[[#This Row],[Position]],Position_Map!$A$2:$B$58,2,FALSE)</f>
        <v>Technical</v>
      </c>
      <c r="E50" s="6">
        <v>1</v>
      </c>
      <c r="F50" s="7">
        <v>146400</v>
      </c>
      <c r="G50" s="7">
        <v>100000</v>
      </c>
      <c r="H50" s="7"/>
      <c r="I50" s="7">
        <f>dataset!$F50-dataset!$J50-dataset!$G50-dataset!$H50</f>
        <v>38400</v>
      </c>
      <c r="J50" s="7">
        <f>dataset!$G50*0.08</f>
        <v>8000</v>
      </c>
      <c r="K50" s="7">
        <f>dataset!$F50*12</f>
        <v>1756800</v>
      </c>
      <c r="L50" s="12">
        <f>IF(dataset!$G50&gt;=200000,38%,IF(dataset!$G50&lt;=145000,12.3%,))</f>
        <v>0.12300000000000001</v>
      </c>
      <c r="M50" s="7">
        <f>dataset!$G50*L51*12</f>
        <v>147600.00000000003</v>
      </c>
      <c r="N5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0" s="7">
        <f>dataset!$K50+dataset!$M50</f>
        <v>1904400</v>
      </c>
      <c r="P50" s="7">
        <f>Payroll_Data_Analysis[[#This Row],[Annual Salary + KPI Bonus]]/12/29.3*31</f>
        <v>167907.84982935153</v>
      </c>
      <c r="Q50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50" s="7">
        <f>Payroll_Data_Analysis[[#This Row],[Monthly Salary]]*11</f>
        <v>1610400</v>
      </c>
      <c r="S50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0" s="7">
        <f>IF(Payroll_Data_Analysis[[#This Row],[Base Salary (Monthly)]]&gt;=200000,69507,IF(Payroll_Data_Analysis[[#This Row],[Base Salary (Monthly)]]&gt;=145000,52684,35103))</f>
        <v>35103</v>
      </c>
      <c r="U50" s="7">
        <f>Payroll_Data_Analysis[[#This Row],[Annual KPI Bonus Reserve]]+Payroll_Data_Analysis[[#This Row],[Vacation Reserve]]+Payroll_Data_Analysis[[#This Row],[11-Month Salary]]</f>
        <v>1925907.8498293515</v>
      </c>
      <c r="V50" s="7">
        <f>Payroll_Data_Analysis[[#This Row],[Payroll Taxes (KPI Bonus)]]+Payroll_Data_Analysis[[#This Row],[Payroll Taxes (Vacation)]]+Payroll_Data_Analysis[[#This Row],[Payroll Taxes (Salary)]]</f>
        <v>581624.17064846412</v>
      </c>
      <c r="W50" s="13">
        <f>Payroll_Data_Analysis[[#This Row],[Total Payroll]]+Payroll_Data_Analysis[[#This Row],[Total Payroll Taxes]]</f>
        <v>2507532.0204778155</v>
      </c>
    </row>
    <row r="51" spans="1:23">
      <c r="A51" s="11" t="s">
        <v>647</v>
      </c>
      <c r="B51" s="5" t="s">
        <v>54</v>
      </c>
      <c r="C51" s="5" t="s">
        <v>711</v>
      </c>
      <c r="D51" s="28" t="str">
        <f>VLOOKUP(Payroll_Data_Analysis[[#This Row],[Position]],Position_Map!$A$2:$B$58,2,FALSE)</f>
        <v>Technical</v>
      </c>
      <c r="E51" s="6">
        <v>1</v>
      </c>
      <c r="F51" s="7">
        <v>136400</v>
      </c>
      <c r="G51" s="7">
        <v>100000</v>
      </c>
      <c r="H51" s="7"/>
      <c r="I51" s="7">
        <f>dataset!$F51-dataset!$J51-dataset!$G51-dataset!$H51</f>
        <v>28400</v>
      </c>
      <c r="J51" s="7">
        <f>dataset!$G51*0.08</f>
        <v>8000</v>
      </c>
      <c r="K51" s="7">
        <f>dataset!$F51*12</f>
        <v>1636800</v>
      </c>
      <c r="L51" s="12">
        <f>IF(dataset!$G51&gt;=200000,38%,IF(dataset!$G51&lt;=145000,12.3%,))</f>
        <v>0.12300000000000001</v>
      </c>
      <c r="M51" s="7">
        <f>dataset!$G51*L52*12</f>
        <v>147600.00000000003</v>
      </c>
      <c r="N5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1" s="7">
        <f>dataset!$K51+dataset!$M51</f>
        <v>1784400</v>
      </c>
      <c r="P51" s="7">
        <f>Payroll_Data_Analysis[[#This Row],[Annual Salary + KPI Bonus]]/12/29.3*31</f>
        <v>157327.64505119453</v>
      </c>
      <c r="Q51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51" s="7">
        <f>Payroll_Data_Analysis[[#This Row],[Monthly Salary]]*11</f>
        <v>1500400</v>
      </c>
      <c r="S51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51" s="7">
        <f>IF(Payroll_Data_Analysis[[#This Row],[Base Salary (Monthly)]]&gt;=200000,69507,IF(Payroll_Data_Analysis[[#This Row],[Base Salary (Monthly)]]&gt;=145000,52684,35103))</f>
        <v>35103</v>
      </c>
      <c r="U51" s="7">
        <f>Payroll_Data_Analysis[[#This Row],[Annual KPI Bonus Reserve]]+Payroll_Data_Analysis[[#This Row],[Vacation Reserve]]+Payroll_Data_Analysis[[#This Row],[11-Month Salary]]</f>
        <v>1805327.6450511946</v>
      </c>
      <c r="V51" s="7">
        <f>Payroll_Data_Analysis[[#This Row],[Payroll Taxes (KPI Bonus)]]+Payroll_Data_Analysis[[#This Row],[Payroll Taxes (Vacation)]]+Payroll_Data_Analysis[[#This Row],[Payroll Taxes (Salary)]]</f>
        <v>545208.94880546071</v>
      </c>
      <c r="W51" s="13">
        <f>Payroll_Data_Analysis[[#This Row],[Total Payroll]]+Payroll_Data_Analysis[[#This Row],[Total Payroll Taxes]]</f>
        <v>2350536.5938566551</v>
      </c>
    </row>
    <row r="52" spans="1:23">
      <c r="A52" s="11" t="s">
        <v>647</v>
      </c>
      <c r="B52" s="5" t="s">
        <v>55</v>
      </c>
      <c r="C52" s="5" t="s">
        <v>711</v>
      </c>
      <c r="D52" s="28" t="str">
        <f>VLOOKUP(Payroll_Data_Analysis[[#This Row],[Position]],Position_Map!$A$2:$B$58,2,FALSE)</f>
        <v>Technical</v>
      </c>
      <c r="E52" s="6">
        <v>1</v>
      </c>
      <c r="F52" s="7">
        <v>146400</v>
      </c>
      <c r="G52" s="7">
        <v>100000</v>
      </c>
      <c r="H52" s="7"/>
      <c r="I52" s="7">
        <f>dataset!$F52-dataset!$J52-dataset!$G52-dataset!$H52</f>
        <v>38400</v>
      </c>
      <c r="J52" s="7">
        <f>dataset!$G52*0.08</f>
        <v>8000</v>
      </c>
      <c r="K52" s="7">
        <f>dataset!$F52*12</f>
        <v>1756800</v>
      </c>
      <c r="L52" s="12">
        <f>IF(dataset!$G52&gt;=200000,38%,IF(dataset!$G52&lt;=145000,12.3%,))</f>
        <v>0.12300000000000001</v>
      </c>
      <c r="M52" s="7">
        <f>dataset!$G52*L53*12</f>
        <v>147600.00000000003</v>
      </c>
      <c r="N5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2" s="7">
        <f>dataset!$K52+dataset!$M52</f>
        <v>1904400</v>
      </c>
      <c r="P52" s="7">
        <f>Payroll_Data_Analysis[[#This Row],[Annual Salary + KPI Bonus]]/12/29.3*31</f>
        <v>167907.84982935153</v>
      </c>
      <c r="Q52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52" s="7">
        <f>Payroll_Data_Analysis[[#This Row],[Monthly Salary]]*11</f>
        <v>1610400</v>
      </c>
      <c r="S52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2" s="7">
        <f>IF(Payroll_Data_Analysis[[#This Row],[Base Salary (Monthly)]]&gt;=200000,69507,IF(Payroll_Data_Analysis[[#This Row],[Base Salary (Monthly)]]&gt;=145000,52684,35103))</f>
        <v>35103</v>
      </c>
      <c r="U52" s="7">
        <f>Payroll_Data_Analysis[[#This Row],[Annual KPI Bonus Reserve]]+Payroll_Data_Analysis[[#This Row],[Vacation Reserve]]+Payroll_Data_Analysis[[#This Row],[11-Month Salary]]</f>
        <v>1925907.8498293515</v>
      </c>
      <c r="V52" s="7">
        <f>Payroll_Data_Analysis[[#This Row],[Payroll Taxes (KPI Bonus)]]+Payroll_Data_Analysis[[#This Row],[Payroll Taxes (Vacation)]]+Payroll_Data_Analysis[[#This Row],[Payroll Taxes (Salary)]]</f>
        <v>581624.17064846412</v>
      </c>
      <c r="W52" s="13">
        <f>Payroll_Data_Analysis[[#This Row],[Total Payroll]]+Payroll_Data_Analysis[[#This Row],[Total Payroll Taxes]]</f>
        <v>2507532.0204778155</v>
      </c>
    </row>
    <row r="53" spans="1:23">
      <c r="A53" s="11" t="s">
        <v>647</v>
      </c>
      <c r="B53" s="5" t="s">
        <v>56</v>
      </c>
      <c r="C53" s="5" t="s">
        <v>711</v>
      </c>
      <c r="D53" s="28" t="str">
        <f>VLOOKUP(Payroll_Data_Analysis[[#This Row],[Position]],Position_Map!$A$2:$B$58,2,FALSE)</f>
        <v>Technical</v>
      </c>
      <c r="E53" s="6">
        <v>1</v>
      </c>
      <c r="F53" s="7">
        <v>146400</v>
      </c>
      <c r="G53" s="7">
        <v>100000</v>
      </c>
      <c r="H53" s="7"/>
      <c r="I53" s="7">
        <f>dataset!$F53-dataset!$J53-dataset!$G53-dataset!$H53</f>
        <v>38400</v>
      </c>
      <c r="J53" s="7">
        <f>dataset!$G53*0.08</f>
        <v>8000</v>
      </c>
      <c r="K53" s="7">
        <f>dataset!$F53*12</f>
        <v>1756800</v>
      </c>
      <c r="L53" s="12">
        <f>IF(dataset!$G53&gt;=200000,38%,IF(dataset!$G53&lt;=145000,12.3%,))</f>
        <v>0.12300000000000001</v>
      </c>
      <c r="M53" s="7">
        <f>dataset!$G53*L54*12</f>
        <v>147600.00000000003</v>
      </c>
      <c r="N5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3" s="7">
        <f>dataset!$K53+dataset!$M53</f>
        <v>1904400</v>
      </c>
      <c r="P53" s="7">
        <f>Payroll_Data_Analysis[[#This Row],[Annual Salary + KPI Bonus]]/12/29.3*31</f>
        <v>167907.84982935153</v>
      </c>
      <c r="Q53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53" s="7">
        <f>Payroll_Data_Analysis[[#This Row],[Monthly Salary]]*11</f>
        <v>1610400</v>
      </c>
      <c r="S53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3" s="7">
        <f>IF(Payroll_Data_Analysis[[#This Row],[Base Salary (Monthly)]]&gt;=200000,69507,IF(Payroll_Data_Analysis[[#This Row],[Base Salary (Monthly)]]&gt;=145000,52684,35103))</f>
        <v>35103</v>
      </c>
      <c r="U53" s="7">
        <f>Payroll_Data_Analysis[[#This Row],[Annual KPI Bonus Reserve]]+Payroll_Data_Analysis[[#This Row],[Vacation Reserve]]+Payroll_Data_Analysis[[#This Row],[11-Month Salary]]</f>
        <v>1925907.8498293515</v>
      </c>
      <c r="V53" s="7">
        <f>Payroll_Data_Analysis[[#This Row],[Payroll Taxes (KPI Bonus)]]+Payroll_Data_Analysis[[#This Row],[Payroll Taxes (Vacation)]]+Payroll_Data_Analysis[[#This Row],[Payroll Taxes (Salary)]]</f>
        <v>581624.17064846412</v>
      </c>
      <c r="W53" s="13">
        <f>Payroll_Data_Analysis[[#This Row],[Total Payroll]]+Payroll_Data_Analysis[[#This Row],[Total Payroll Taxes]]</f>
        <v>2507532.0204778155</v>
      </c>
    </row>
    <row r="54" spans="1:23">
      <c r="A54" s="11" t="s">
        <v>647</v>
      </c>
      <c r="B54" s="5" t="s">
        <v>57</v>
      </c>
      <c r="C54" s="5" t="s">
        <v>711</v>
      </c>
      <c r="D54" s="28" t="str">
        <f>VLOOKUP(Payroll_Data_Analysis[[#This Row],[Position]],Position_Map!$A$2:$B$58,2,FALSE)</f>
        <v>Technical</v>
      </c>
      <c r="E54" s="6">
        <v>1</v>
      </c>
      <c r="F54" s="7">
        <v>136400</v>
      </c>
      <c r="G54" s="7">
        <v>100000</v>
      </c>
      <c r="H54" s="7"/>
      <c r="I54" s="7">
        <f>dataset!$F54-dataset!$J54-dataset!$G54-dataset!$H54</f>
        <v>28400</v>
      </c>
      <c r="J54" s="7">
        <f>dataset!$G54*0.08</f>
        <v>8000</v>
      </c>
      <c r="K54" s="7">
        <f>dataset!$F54*12</f>
        <v>1636800</v>
      </c>
      <c r="L54" s="12">
        <f>IF(dataset!$G54&gt;=200000,38%,IF(dataset!$G54&lt;=145000,12.3%,))</f>
        <v>0.12300000000000001</v>
      </c>
      <c r="M54" s="7">
        <f>dataset!$G54*L55*12</f>
        <v>147600.00000000003</v>
      </c>
      <c r="N5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4" s="7">
        <f>dataset!$K54+dataset!$M54</f>
        <v>1784400</v>
      </c>
      <c r="P54" s="7">
        <f>Payroll_Data_Analysis[[#This Row],[Annual Salary + KPI Bonus]]/12/29.3*31</f>
        <v>157327.64505119453</v>
      </c>
      <c r="Q54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54" s="7">
        <f>Payroll_Data_Analysis[[#This Row],[Monthly Salary]]*11</f>
        <v>1500400</v>
      </c>
      <c r="S54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54" s="7">
        <f>IF(Payroll_Data_Analysis[[#This Row],[Base Salary (Monthly)]]&gt;=200000,69507,IF(Payroll_Data_Analysis[[#This Row],[Base Salary (Monthly)]]&gt;=145000,52684,35103))</f>
        <v>35103</v>
      </c>
      <c r="U54" s="7">
        <f>Payroll_Data_Analysis[[#This Row],[Annual KPI Bonus Reserve]]+Payroll_Data_Analysis[[#This Row],[Vacation Reserve]]+Payroll_Data_Analysis[[#This Row],[11-Month Salary]]</f>
        <v>1805327.6450511946</v>
      </c>
      <c r="V54" s="7">
        <f>Payroll_Data_Analysis[[#This Row],[Payroll Taxes (KPI Bonus)]]+Payroll_Data_Analysis[[#This Row],[Payroll Taxes (Vacation)]]+Payroll_Data_Analysis[[#This Row],[Payroll Taxes (Salary)]]</f>
        <v>545208.94880546071</v>
      </c>
      <c r="W54" s="13">
        <f>Payroll_Data_Analysis[[#This Row],[Total Payroll]]+Payroll_Data_Analysis[[#This Row],[Total Payroll Taxes]]</f>
        <v>2350536.5938566551</v>
      </c>
    </row>
    <row r="55" spans="1:23">
      <c r="A55" s="11" t="s">
        <v>647</v>
      </c>
      <c r="B55" s="5" t="s">
        <v>58</v>
      </c>
      <c r="C55" s="5" t="s">
        <v>711</v>
      </c>
      <c r="D55" s="28" t="str">
        <f>VLOOKUP(Payroll_Data_Analysis[[#This Row],[Position]],Position_Map!$A$2:$B$58,2,FALSE)</f>
        <v>Technical</v>
      </c>
      <c r="E55" s="6">
        <v>1</v>
      </c>
      <c r="F55" s="7">
        <v>136400</v>
      </c>
      <c r="G55" s="7">
        <v>100000</v>
      </c>
      <c r="H55" s="7"/>
      <c r="I55" s="7">
        <f>dataset!$F55-dataset!$J55-dataset!$G55-dataset!$H55</f>
        <v>28400</v>
      </c>
      <c r="J55" s="7">
        <f>dataset!$G55*0.08</f>
        <v>8000</v>
      </c>
      <c r="K55" s="7">
        <f>dataset!$F55*12</f>
        <v>1636800</v>
      </c>
      <c r="L55" s="12">
        <f>IF(dataset!$G55&gt;=200000,38%,IF(dataset!$G55&lt;=145000,12.3%,))</f>
        <v>0.12300000000000001</v>
      </c>
      <c r="M55" s="7">
        <f>dataset!$G55*L56*12</f>
        <v>147600.00000000003</v>
      </c>
      <c r="N5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5" s="7">
        <f>dataset!$K55+dataset!$M55</f>
        <v>1784400</v>
      </c>
      <c r="P55" s="7">
        <f>Payroll_Data_Analysis[[#This Row],[Annual Salary + KPI Bonus]]/12/29.3*31</f>
        <v>157327.64505119453</v>
      </c>
      <c r="Q55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55" s="7">
        <f>Payroll_Data_Analysis[[#This Row],[Monthly Salary]]*11</f>
        <v>1500400</v>
      </c>
      <c r="S55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55" s="7">
        <f>IF(Payroll_Data_Analysis[[#This Row],[Base Salary (Monthly)]]&gt;=200000,69507,IF(Payroll_Data_Analysis[[#This Row],[Base Salary (Monthly)]]&gt;=145000,52684,35103))</f>
        <v>35103</v>
      </c>
      <c r="U55" s="7">
        <f>Payroll_Data_Analysis[[#This Row],[Annual KPI Bonus Reserve]]+Payroll_Data_Analysis[[#This Row],[Vacation Reserve]]+Payroll_Data_Analysis[[#This Row],[11-Month Salary]]</f>
        <v>1805327.6450511946</v>
      </c>
      <c r="V55" s="7">
        <f>Payroll_Data_Analysis[[#This Row],[Payroll Taxes (KPI Bonus)]]+Payroll_Data_Analysis[[#This Row],[Payroll Taxes (Vacation)]]+Payroll_Data_Analysis[[#This Row],[Payroll Taxes (Salary)]]</f>
        <v>545208.94880546071</v>
      </c>
      <c r="W55" s="13">
        <f>Payroll_Data_Analysis[[#This Row],[Total Payroll]]+Payroll_Data_Analysis[[#This Row],[Total Payroll Taxes]]</f>
        <v>2350536.5938566551</v>
      </c>
    </row>
    <row r="56" spans="1:23">
      <c r="A56" s="11" t="s">
        <v>647</v>
      </c>
      <c r="B56" s="5" t="s">
        <v>59</v>
      </c>
      <c r="C56" s="5" t="s">
        <v>711</v>
      </c>
      <c r="D56" s="28" t="str">
        <f>VLOOKUP(Payroll_Data_Analysis[[#This Row],[Position]],Position_Map!$A$2:$B$58,2,FALSE)</f>
        <v>Technical</v>
      </c>
      <c r="E56" s="6">
        <v>1</v>
      </c>
      <c r="F56" s="7">
        <v>136400</v>
      </c>
      <c r="G56" s="7">
        <v>100000</v>
      </c>
      <c r="H56" s="7"/>
      <c r="I56" s="7">
        <f>dataset!$F56-dataset!$J56-dataset!$G56-dataset!$H56</f>
        <v>28400</v>
      </c>
      <c r="J56" s="7">
        <f>dataset!$G56*0.08</f>
        <v>8000</v>
      </c>
      <c r="K56" s="7">
        <f>dataset!$F56*12</f>
        <v>1636800</v>
      </c>
      <c r="L56" s="12">
        <f>IF(dataset!$G56&gt;=200000,38%,IF(dataset!$G56&lt;=145000,12.3%,))</f>
        <v>0.12300000000000001</v>
      </c>
      <c r="M56" s="7">
        <f>dataset!$G56*L57*12</f>
        <v>147600.00000000003</v>
      </c>
      <c r="N5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6" s="7">
        <f>dataset!$K56+dataset!$M56</f>
        <v>1784400</v>
      </c>
      <c r="P56" s="7">
        <f>Payroll_Data_Analysis[[#This Row],[Annual Salary + KPI Bonus]]/12/29.3*31</f>
        <v>157327.64505119453</v>
      </c>
      <c r="Q56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56" s="7">
        <f>Payroll_Data_Analysis[[#This Row],[Monthly Salary]]*11</f>
        <v>1500400</v>
      </c>
      <c r="S56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56" s="7">
        <f>IF(Payroll_Data_Analysis[[#This Row],[Base Salary (Monthly)]]&gt;=200000,69507,IF(Payroll_Data_Analysis[[#This Row],[Base Salary (Monthly)]]&gt;=145000,52684,35103))</f>
        <v>35103</v>
      </c>
      <c r="U56" s="7">
        <f>Payroll_Data_Analysis[[#This Row],[Annual KPI Bonus Reserve]]+Payroll_Data_Analysis[[#This Row],[Vacation Reserve]]+Payroll_Data_Analysis[[#This Row],[11-Month Salary]]</f>
        <v>1805327.6450511946</v>
      </c>
      <c r="V56" s="7">
        <f>Payroll_Data_Analysis[[#This Row],[Payroll Taxes (KPI Bonus)]]+Payroll_Data_Analysis[[#This Row],[Payroll Taxes (Vacation)]]+Payroll_Data_Analysis[[#This Row],[Payroll Taxes (Salary)]]</f>
        <v>545208.94880546071</v>
      </c>
      <c r="W56" s="13">
        <f>Payroll_Data_Analysis[[#This Row],[Total Payroll]]+Payroll_Data_Analysis[[#This Row],[Total Payroll Taxes]]</f>
        <v>2350536.5938566551</v>
      </c>
    </row>
    <row r="57" spans="1:23">
      <c r="A57" s="11" t="s">
        <v>647</v>
      </c>
      <c r="B57" s="5" t="s">
        <v>60</v>
      </c>
      <c r="C57" s="5" t="s">
        <v>711</v>
      </c>
      <c r="D57" s="28" t="str">
        <f>VLOOKUP(Payroll_Data_Analysis[[#This Row],[Position]],Position_Map!$A$2:$B$58,2,FALSE)</f>
        <v>Technical</v>
      </c>
      <c r="E57" s="6">
        <v>1</v>
      </c>
      <c r="F57" s="7">
        <v>146400</v>
      </c>
      <c r="G57" s="7">
        <v>100000</v>
      </c>
      <c r="H57" s="7"/>
      <c r="I57" s="7">
        <f>dataset!$F57-dataset!$J57-dataset!$G57-dataset!$H57</f>
        <v>38400</v>
      </c>
      <c r="J57" s="7">
        <f>dataset!$G57*0.08</f>
        <v>8000</v>
      </c>
      <c r="K57" s="7">
        <f>dataset!$F57*12</f>
        <v>1756800</v>
      </c>
      <c r="L57" s="12">
        <f>IF(dataset!$G57&gt;=200000,38%,IF(dataset!$G57&lt;=145000,12.3%,))</f>
        <v>0.12300000000000001</v>
      </c>
      <c r="M57" s="7">
        <f>dataset!$G57*L58*12</f>
        <v>147600.00000000003</v>
      </c>
      <c r="N5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7" s="7">
        <f>dataset!$K57+dataset!$M57</f>
        <v>1904400</v>
      </c>
      <c r="P57" s="7">
        <f>Payroll_Data_Analysis[[#This Row],[Annual Salary + KPI Bonus]]/12/29.3*31</f>
        <v>167907.84982935153</v>
      </c>
      <c r="Q57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57" s="7">
        <f>Payroll_Data_Analysis[[#This Row],[Monthly Salary]]*11</f>
        <v>1610400</v>
      </c>
      <c r="S57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7" s="7">
        <f>IF(Payroll_Data_Analysis[[#This Row],[Base Salary (Monthly)]]&gt;=200000,69507,IF(Payroll_Data_Analysis[[#This Row],[Base Salary (Monthly)]]&gt;=145000,52684,35103))</f>
        <v>35103</v>
      </c>
      <c r="U57" s="7">
        <f>Payroll_Data_Analysis[[#This Row],[Annual KPI Bonus Reserve]]+Payroll_Data_Analysis[[#This Row],[Vacation Reserve]]+Payroll_Data_Analysis[[#This Row],[11-Month Salary]]</f>
        <v>1925907.8498293515</v>
      </c>
      <c r="V57" s="7">
        <f>Payroll_Data_Analysis[[#This Row],[Payroll Taxes (KPI Bonus)]]+Payroll_Data_Analysis[[#This Row],[Payroll Taxes (Vacation)]]+Payroll_Data_Analysis[[#This Row],[Payroll Taxes (Salary)]]</f>
        <v>581624.17064846412</v>
      </c>
      <c r="W57" s="13">
        <f>Payroll_Data_Analysis[[#This Row],[Total Payroll]]+Payroll_Data_Analysis[[#This Row],[Total Payroll Taxes]]</f>
        <v>2507532.0204778155</v>
      </c>
    </row>
    <row r="58" spans="1:23">
      <c r="A58" s="11" t="s">
        <v>647</v>
      </c>
      <c r="B58" s="5" t="s">
        <v>61</v>
      </c>
      <c r="C58" s="5" t="s">
        <v>703</v>
      </c>
      <c r="D58" s="28" t="str">
        <f>VLOOKUP(Payroll_Data_Analysis[[#This Row],[Position]],Position_Map!$A$2:$B$58,2,FALSE)</f>
        <v>Management</v>
      </c>
      <c r="E58" s="6">
        <v>1</v>
      </c>
      <c r="F58" s="7">
        <v>186600</v>
      </c>
      <c r="G58" s="7">
        <v>145000</v>
      </c>
      <c r="H58" s="7"/>
      <c r="I58" s="7">
        <f>dataset!$F58-dataset!$J58-dataset!$G58-dataset!$H58</f>
        <v>30000</v>
      </c>
      <c r="J58" s="7">
        <f>dataset!$G58*0.08</f>
        <v>11600</v>
      </c>
      <c r="K58" s="7">
        <f>dataset!$F58*12</f>
        <v>2239200</v>
      </c>
      <c r="L58" s="12">
        <f>IF(dataset!$G58&gt;=200000,38%,IF(dataset!$G58&lt;=145000,12.3%,))</f>
        <v>0.12300000000000001</v>
      </c>
      <c r="M58" s="7">
        <f>dataset!$G58*L59*12</f>
        <v>214020</v>
      </c>
      <c r="N5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8" s="7">
        <f>dataset!$K58+dataset!$M58</f>
        <v>2453220</v>
      </c>
      <c r="P58" s="7">
        <f>Payroll_Data_Analysis[[#This Row],[Annual Salary + KPI Bonus]]/12/29.3*31</f>
        <v>216296.41638225256</v>
      </c>
      <c r="Q58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58" s="7">
        <f>Payroll_Data_Analysis[[#This Row],[Monthly Salary]]*11</f>
        <v>2052600</v>
      </c>
      <c r="S58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58" s="7">
        <f>IF(Payroll_Data_Analysis[[#This Row],[Base Salary (Monthly)]]&gt;=200000,69507,IF(Payroll_Data_Analysis[[#This Row],[Base Salary (Monthly)]]&gt;=145000,52684,35103))</f>
        <v>52684</v>
      </c>
      <c r="U58" s="7">
        <f>Payroll_Data_Analysis[[#This Row],[Annual KPI Bonus Reserve]]+Payroll_Data_Analysis[[#This Row],[Vacation Reserve]]+Payroll_Data_Analysis[[#This Row],[11-Month Salary]]</f>
        <v>2482916.4163822527</v>
      </c>
      <c r="V58" s="7">
        <f>Payroll_Data_Analysis[[#This Row],[Payroll Taxes (KPI Bonus)]]+Payroll_Data_Analysis[[#This Row],[Payroll Taxes (Vacation)]]+Payroll_Data_Analysis[[#This Row],[Payroll Taxes (Salary)]]</f>
        <v>749840.75774744025</v>
      </c>
      <c r="W58" s="13">
        <f>Payroll_Data_Analysis[[#This Row],[Total Payroll]]+Payroll_Data_Analysis[[#This Row],[Total Payroll Taxes]]</f>
        <v>3232757.1741296928</v>
      </c>
    </row>
    <row r="59" spans="1:23">
      <c r="A59" s="11" t="s">
        <v>647</v>
      </c>
      <c r="B59" s="5" t="s">
        <v>62</v>
      </c>
      <c r="C59" s="5" t="s">
        <v>704</v>
      </c>
      <c r="D59" s="28" t="str">
        <f>VLOOKUP(Payroll_Data_Analysis[[#This Row],[Position]],Position_Map!$A$2:$B$58,2,FALSE)</f>
        <v>Management</v>
      </c>
      <c r="E59" s="6">
        <v>1</v>
      </c>
      <c r="F59" s="7">
        <v>158000</v>
      </c>
      <c r="G59" s="7">
        <v>100000</v>
      </c>
      <c r="H59" s="7"/>
      <c r="I59" s="7">
        <f>dataset!$F59-dataset!$J59-dataset!$G59-dataset!$H59</f>
        <v>50000</v>
      </c>
      <c r="J59" s="7">
        <f>dataset!$G59*0.08</f>
        <v>8000</v>
      </c>
      <c r="K59" s="7">
        <f>dataset!$F59*12</f>
        <v>1896000</v>
      </c>
      <c r="L59" s="12">
        <f>IF(dataset!$G59&gt;=200000,38%,IF(dataset!$G59&lt;=145000,12.3%,))</f>
        <v>0.12300000000000001</v>
      </c>
      <c r="M59" s="7">
        <f>dataset!$G59*L60*12</f>
        <v>147600.00000000003</v>
      </c>
      <c r="N5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9" s="7">
        <f>dataset!$K59+dataset!$M59</f>
        <v>2043600</v>
      </c>
      <c r="P59" s="7">
        <f>Payroll_Data_Analysis[[#This Row],[Annual Salary + KPI Bonus]]/12/29.3*31</f>
        <v>180180.88737201365</v>
      </c>
      <c r="Q59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9" s="7">
        <f>Payroll_Data_Analysis[[#This Row],[Monthly Salary]]*11</f>
        <v>1738000</v>
      </c>
      <c r="S59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9" s="7">
        <f>IF(Payroll_Data_Analysis[[#This Row],[Base Salary (Monthly)]]&gt;=200000,69507,IF(Payroll_Data_Analysis[[#This Row],[Base Salary (Monthly)]]&gt;=145000,52684,35103))</f>
        <v>35103</v>
      </c>
      <c r="U59" s="7">
        <f>Payroll_Data_Analysis[[#This Row],[Annual KPI Bonus Reserve]]+Payroll_Data_Analysis[[#This Row],[Vacation Reserve]]+Payroll_Data_Analysis[[#This Row],[11-Month Salary]]</f>
        <v>2065780.8873720136</v>
      </c>
      <c r="V59" s="7">
        <f>Payroll_Data_Analysis[[#This Row],[Payroll Taxes (KPI Bonus)]]+Payroll_Data_Analysis[[#This Row],[Payroll Taxes (Vacation)]]+Payroll_Data_Analysis[[#This Row],[Payroll Taxes (Salary)]]</f>
        <v>623865.82798634819</v>
      </c>
      <c r="W59" s="13">
        <f>Payroll_Data_Analysis[[#This Row],[Total Payroll]]+Payroll_Data_Analysis[[#This Row],[Total Payroll Taxes]]</f>
        <v>2689646.7153583616</v>
      </c>
    </row>
    <row r="60" spans="1:23">
      <c r="A60" s="11" t="s">
        <v>647</v>
      </c>
      <c r="B60" s="5" t="s">
        <v>63</v>
      </c>
      <c r="C60" s="5" t="s">
        <v>712</v>
      </c>
      <c r="D60" s="28" t="str">
        <f>VLOOKUP(Payroll_Data_Analysis[[#This Row],[Position]],Position_Map!$A$2:$B$58,2,FALSE)</f>
        <v>Technical</v>
      </c>
      <c r="E60" s="6">
        <v>1</v>
      </c>
      <c r="F60" s="7">
        <v>90800</v>
      </c>
      <c r="G60" s="7">
        <v>60000</v>
      </c>
      <c r="H60" s="7"/>
      <c r="I60" s="7">
        <f>dataset!$F60-dataset!$J60-dataset!$G60-dataset!$H60</f>
        <v>26000</v>
      </c>
      <c r="J60" s="7">
        <f>dataset!$G60*0.08</f>
        <v>4800</v>
      </c>
      <c r="K60" s="7">
        <f>dataset!$F60*12</f>
        <v>1089600</v>
      </c>
      <c r="L60" s="12">
        <f>IF(dataset!$G60&gt;=200000,38%,IF(dataset!$G60&lt;=145000,12.3%,))</f>
        <v>0.12300000000000001</v>
      </c>
      <c r="M60" s="7">
        <f>dataset!$G60*L61*12</f>
        <v>88560.000000000015</v>
      </c>
      <c r="N6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0" s="7">
        <f>dataset!$K60+dataset!$M60</f>
        <v>1178160</v>
      </c>
      <c r="P60" s="7">
        <f>Payroll_Data_Analysis[[#This Row],[Annual Salary + KPI Bonus]]/12/29.3*31</f>
        <v>103876.45051194538</v>
      </c>
      <c r="Q60" s="7">
        <f>IF(Payroll_Data_Analysis[[#This Row],[Vacation Reserve]]&lt;=2979000,Payroll_Data_Analysis[[#This Row],[Vacation Reserve]]*0.302,2979000*0.302+(Payroll_Data_Analysis[[#This Row],[Vacation Reserve]]-2979000)*0.151)</f>
        <v>31370.688054607504</v>
      </c>
      <c r="R60" s="7">
        <f>Payroll_Data_Analysis[[#This Row],[Monthly Salary]]*11</f>
        <v>998800</v>
      </c>
      <c r="S60" s="7">
        <f>IF(Payroll_Data_Analysis[[#This Row],[11-Month Salary]]&lt;=2979000,Payroll_Data_Analysis[[#This Row],[11-Month Salary]]*0.302,2979000*0.302+(Payroll_Data_Analysis[[#This Row],[11-Month Salary]]-2979000)*0.151)</f>
        <v>301637.59999999998</v>
      </c>
      <c r="T60" s="7">
        <f>IF(Payroll_Data_Analysis[[#This Row],[Base Salary (Monthly)]]&gt;=200000,69507,IF(Payroll_Data_Analysis[[#This Row],[Base Salary (Monthly)]]&gt;=145000,52684,35103))</f>
        <v>35103</v>
      </c>
      <c r="U60" s="7">
        <f>Payroll_Data_Analysis[[#This Row],[Annual KPI Bonus Reserve]]+Payroll_Data_Analysis[[#This Row],[Vacation Reserve]]+Payroll_Data_Analysis[[#This Row],[11-Month Salary]]</f>
        <v>1191236.4505119454</v>
      </c>
      <c r="V60" s="7">
        <f>Payroll_Data_Analysis[[#This Row],[Payroll Taxes (KPI Bonus)]]+Payroll_Data_Analysis[[#This Row],[Payroll Taxes (Vacation)]]+Payroll_Data_Analysis[[#This Row],[Payroll Taxes (Salary)]]</f>
        <v>359753.40805460745</v>
      </c>
      <c r="W60" s="13">
        <f>Payroll_Data_Analysis[[#This Row],[Total Payroll]]+Payroll_Data_Analysis[[#This Row],[Total Payroll Taxes]]</f>
        <v>1550989.8585665529</v>
      </c>
    </row>
    <row r="61" spans="1:23">
      <c r="A61" s="11" t="s">
        <v>647</v>
      </c>
      <c r="B61" s="5" t="s">
        <v>64</v>
      </c>
      <c r="C61" s="5" t="s">
        <v>712</v>
      </c>
      <c r="D61" s="28" t="str">
        <f>VLOOKUP(Payroll_Data_Analysis[[#This Row],[Position]],Position_Map!$A$2:$B$58,2,FALSE)</f>
        <v>Technical</v>
      </c>
      <c r="E61" s="6">
        <v>1</v>
      </c>
      <c r="F61" s="7">
        <v>57800</v>
      </c>
      <c r="G61" s="7">
        <v>35000</v>
      </c>
      <c r="H61" s="7"/>
      <c r="I61" s="7">
        <f>dataset!$F61-dataset!$J61-dataset!$G61-dataset!$H61</f>
        <v>20000</v>
      </c>
      <c r="J61" s="7">
        <f>dataset!$G61*0.08</f>
        <v>2800</v>
      </c>
      <c r="K61" s="7">
        <f>dataset!$F61*12</f>
        <v>693600</v>
      </c>
      <c r="L61" s="12">
        <f>IF(dataset!$G61&gt;=200000,38%,IF(dataset!$G61&lt;=145000,12.3%,))</f>
        <v>0.12300000000000001</v>
      </c>
      <c r="M61" s="7">
        <f>dataset!$G61*L62*12</f>
        <v>51660</v>
      </c>
      <c r="N6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61" s="7">
        <f>dataset!$K61+dataset!$M61</f>
        <v>745260</v>
      </c>
      <c r="P61" s="7">
        <f>Payroll_Data_Analysis[[#This Row],[Annual Salary + KPI Bonus]]/12/29.3*31</f>
        <v>65708.361774744029</v>
      </c>
      <c r="Q61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61" s="7">
        <f>Payroll_Data_Analysis[[#This Row],[Monthly Salary]]*11</f>
        <v>635800</v>
      </c>
      <c r="S61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61" s="7">
        <f>IF(Payroll_Data_Analysis[[#This Row],[Base Salary (Monthly)]]&gt;=200000,69507,IF(Payroll_Data_Analysis[[#This Row],[Base Salary (Monthly)]]&gt;=145000,52684,35103))</f>
        <v>35103</v>
      </c>
      <c r="U61" s="7">
        <f>Payroll_Data_Analysis[[#This Row],[Annual KPI Bonus Reserve]]+Payroll_Data_Analysis[[#This Row],[Vacation Reserve]]+Payroll_Data_Analysis[[#This Row],[11-Month Salary]]</f>
        <v>753168.361774744</v>
      </c>
      <c r="V61" s="7">
        <f>Payroll_Data_Analysis[[#This Row],[Payroll Taxes (KPI Bonus)]]+Payroll_Data_Analysis[[#This Row],[Payroll Taxes (Vacation)]]+Payroll_Data_Analysis[[#This Row],[Payroll Taxes (Salary)]]</f>
        <v>227456.8452559727</v>
      </c>
      <c r="W61" s="13">
        <f>Payroll_Data_Analysis[[#This Row],[Total Payroll]]+Payroll_Data_Analysis[[#This Row],[Total Payroll Taxes]]</f>
        <v>980625.2070307167</v>
      </c>
    </row>
    <row r="62" spans="1:23">
      <c r="A62" s="11" t="s">
        <v>647</v>
      </c>
      <c r="B62" s="5" t="s">
        <v>65</v>
      </c>
      <c r="C62" s="5" t="s">
        <v>712</v>
      </c>
      <c r="D62" s="28" t="str">
        <f>VLOOKUP(Payroll_Data_Analysis[[#This Row],[Position]],Position_Map!$A$2:$B$58,2,FALSE)</f>
        <v>Technical</v>
      </c>
      <c r="E62" s="6">
        <v>1</v>
      </c>
      <c r="F62" s="7">
        <v>99800</v>
      </c>
      <c r="G62" s="7">
        <v>60000</v>
      </c>
      <c r="H62" s="7"/>
      <c r="I62" s="7">
        <f>dataset!$F62-dataset!$J62-dataset!$G62-dataset!$H62</f>
        <v>35000</v>
      </c>
      <c r="J62" s="7">
        <f>dataset!$G62*0.08</f>
        <v>4800</v>
      </c>
      <c r="K62" s="7">
        <f>dataset!$F62*12</f>
        <v>1197600</v>
      </c>
      <c r="L62" s="12">
        <f>IF(dataset!$G62&gt;=200000,38%,IF(dataset!$G62&lt;=145000,12.3%,))</f>
        <v>0.12300000000000001</v>
      </c>
      <c r="M62" s="7">
        <f>dataset!$G62*L63*12</f>
        <v>88560.000000000015</v>
      </c>
      <c r="N6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2" s="7">
        <f>dataset!$K62+dataset!$M62</f>
        <v>1286160</v>
      </c>
      <c r="P62" s="7">
        <f>Payroll_Data_Analysis[[#This Row],[Annual Salary + KPI Bonus]]/12/29.3*31</f>
        <v>113398.63481228668</v>
      </c>
      <c r="Q62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62" s="7">
        <f>Payroll_Data_Analysis[[#This Row],[Monthly Salary]]*11</f>
        <v>1097800</v>
      </c>
      <c r="S62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62" s="7">
        <f>IF(Payroll_Data_Analysis[[#This Row],[Base Salary (Monthly)]]&gt;=200000,69507,IF(Payroll_Data_Analysis[[#This Row],[Base Salary (Monthly)]]&gt;=145000,52684,35103))</f>
        <v>35103</v>
      </c>
      <c r="U62" s="7">
        <f>Payroll_Data_Analysis[[#This Row],[Annual KPI Bonus Reserve]]+Payroll_Data_Analysis[[#This Row],[Vacation Reserve]]+Payroll_Data_Analysis[[#This Row],[11-Month Salary]]</f>
        <v>1299758.6348122866</v>
      </c>
      <c r="V62" s="7">
        <f>Payroll_Data_Analysis[[#This Row],[Payroll Taxes (KPI Bonus)]]+Payroll_Data_Analysis[[#This Row],[Payroll Taxes (Vacation)]]+Payroll_Data_Analysis[[#This Row],[Payroll Taxes (Salary)]]</f>
        <v>392527.10771331057</v>
      </c>
      <c r="W62" s="13">
        <f>Payroll_Data_Analysis[[#This Row],[Total Payroll]]+Payroll_Data_Analysis[[#This Row],[Total Payroll Taxes]]</f>
        <v>1692285.7425255971</v>
      </c>
    </row>
    <row r="63" spans="1:23">
      <c r="A63" s="11" t="s">
        <v>647</v>
      </c>
      <c r="B63" s="5" t="s">
        <v>66</v>
      </c>
      <c r="C63" s="5" t="s">
        <v>712</v>
      </c>
      <c r="D63" s="28" t="str">
        <f>VLOOKUP(Payroll_Data_Analysis[[#This Row],[Position]],Position_Map!$A$2:$B$58,2,FALSE)</f>
        <v>Technical</v>
      </c>
      <c r="E63" s="6">
        <v>1</v>
      </c>
      <c r="F63" s="7">
        <v>74000</v>
      </c>
      <c r="G63" s="7">
        <v>50000</v>
      </c>
      <c r="H63" s="7"/>
      <c r="I63" s="7">
        <f>dataset!$F63-dataset!$J63-dataset!$G63-dataset!$H63</f>
        <v>20000</v>
      </c>
      <c r="J63" s="7">
        <f>dataset!$G63*0.08</f>
        <v>4000</v>
      </c>
      <c r="K63" s="7">
        <f>dataset!$F63*12</f>
        <v>888000</v>
      </c>
      <c r="L63" s="12">
        <f>IF(dataset!$G63&gt;=200000,38%,IF(dataset!$G63&lt;=145000,12.3%,))</f>
        <v>0.12300000000000001</v>
      </c>
      <c r="M63" s="7">
        <f>dataset!$G63*L64*12</f>
        <v>73800.000000000015</v>
      </c>
      <c r="N63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63" s="7">
        <f>dataset!$K63+dataset!$M63</f>
        <v>961800</v>
      </c>
      <c r="P63" s="7">
        <f>Payroll_Data_Analysis[[#This Row],[Annual Salary + KPI Bonus]]/12/29.3*31</f>
        <v>84800.341296928324</v>
      </c>
      <c r="Q63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63" s="7">
        <f>Payroll_Data_Analysis[[#This Row],[Monthly Salary]]*11</f>
        <v>814000</v>
      </c>
      <c r="S63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63" s="7">
        <f>IF(Payroll_Data_Analysis[[#This Row],[Base Salary (Monthly)]]&gt;=200000,69507,IF(Payroll_Data_Analysis[[#This Row],[Base Salary (Monthly)]]&gt;=145000,52684,35103))</f>
        <v>35103</v>
      </c>
      <c r="U63" s="7">
        <f>Payroll_Data_Analysis[[#This Row],[Annual KPI Bonus Reserve]]+Payroll_Data_Analysis[[#This Row],[Vacation Reserve]]+Payroll_Data_Analysis[[#This Row],[11-Month Salary]]</f>
        <v>972600.34129692835</v>
      </c>
      <c r="V63" s="7">
        <f>Payroll_Data_Analysis[[#This Row],[Payroll Taxes (KPI Bonus)]]+Payroll_Data_Analysis[[#This Row],[Payroll Taxes (Vacation)]]+Payroll_Data_Analysis[[#This Row],[Payroll Taxes (Salary)]]</f>
        <v>293725.30307167233</v>
      </c>
      <c r="W63" s="13">
        <f>Payroll_Data_Analysis[[#This Row],[Total Payroll]]+Payroll_Data_Analysis[[#This Row],[Total Payroll Taxes]]</f>
        <v>1266325.6443686006</v>
      </c>
    </row>
    <row r="64" spans="1:23">
      <c r="A64" s="11" t="s">
        <v>647</v>
      </c>
      <c r="B64" s="5" t="s">
        <v>67</v>
      </c>
      <c r="C64" s="5" t="s">
        <v>712</v>
      </c>
      <c r="D64" s="28" t="str">
        <f>VLOOKUP(Payroll_Data_Analysis[[#This Row],[Position]],Position_Map!$A$2:$B$58,2,FALSE)</f>
        <v>Technical</v>
      </c>
      <c r="E64" s="6">
        <v>1</v>
      </c>
      <c r="F64" s="7">
        <v>81000</v>
      </c>
      <c r="G64" s="7">
        <v>60000</v>
      </c>
      <c r="H64" s="7"/>
      <c r="I64" s="7">
        <f>dataset!$F64-dataset!$J64-dataset!$G64-dataset!$H64</f>
        <v>16200</v>
      </c>
      <c r="J64" s="7">
        <f>dataset!$G64*0.08</f>
        <v>4800</v>
      </c>
      <c r="K64" s="7">
        <f>dataset!$F64*12</f>
        <v>972000</v>
      </c>
      <c r="L64" s="12">
        <f>IF(dataset!$G64&gt;=200000,38%,IF(dataset!$G64&lt;=145000,12.3%,))</f>
        <v>0.12300000000000001</v>
      </c>
      <c r="M64" s="7">
        <f>dataset!$G64*L65*12</f>
        <v>88560.000000000015</v>
      </c>
      <c r="N6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4" s="7">
        <f>dataset!$K64+dataset!$M64</f>
        <v>1060560</v>
      </c>
      <c r="P64" s="7">
        <f>Payroll_Data_Analysis[[#This Row],[Annual Salary + KPI Bonus]]/12/29.3*31</f>
        <v>93507.849829351544</v>
      </c>
      <c r="Q64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64" s="7">
        <f>Payroll_Data_Analysis[[#This Row],[Monthly Salary]]*11</f>
        <v>891000</v>
      </c>
      <c r="S64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64" s="7">
        <f>IF(Payroll_Data_Analysis[[#This Row],[Base Salary (Monthly)]]&gt;=200000,69507,IF(Payroll_Data_Analysis[[#This Row],[Base Salary (Monthly)]]&gt;=145000,52684,35103))</f>
        <v>35103</v>
      </c>
      <c r="U64" s="7">
        <f>Payroll_Data_Analysis[[#This Row],[Annual KPI Bonus Reserve]]+Payroll_Data_Analysis[[#This Row],[Vacation Reserve]]+Payroll_Data_Analysis[[#This Row],[11-Month Salary]]</f>
        <v>1073067.8498293515</v>
      </c>
      <c r="V64" s="7">
        <f>Payroll_Data_Analysis[[#This Row],[Payroll Taxes (KPI Bonus)]]+Payroll_Data_Analysis[[#This Row],[Payroll Taxes (Vacation)]]+Payroll_Data_Analysis[[#This Row],[Payroll Taxes (Salary)]]</f>
        <v>324066.49064846418</v>
      </c>
      <c r="W64" s="13">
        <f>Payroll_Data_Analysis[[#This Row],[Total Payroll]]+Payroll_Data_Analysis[[#This Row],[Total Payroll Taxes]]</f>
        <v>1397134.3404778158</v>
      </c>
    </row>
    <row r="65" spans="1:23">
      <c r="A65" s="11" t="s">
        <v>647</v>
      </c>
      <c r="B65" s="5" t="s">
        <v>68</v>
      </c>
      <c r="C65" s="5" t="s">
        <v>712</v>
      </c>
      <c r="D65" s="28" t="str">
        <f>VLOOKUP(Payroll_Data_Analysis[[#This Row],[Position]],Position_Map!$A$2:$B$58,2,FALSE)</f>
        <v>Technical</v>
      </c>
      <c r="E65" s="6">
        <v>1</v>
      </c>
      <c r="F65" s="7">
        <v>90800</v>
      </c>
      <c r="G65" s="7">
        <v>60000</v>
      </c>
      <c r="H65" s="7"/>
      <c r="I65" s="7">
        <f>dataset!$F65-dataset!$J65-dataset!$G65-dataset!$H65</f>
        <v>26000</v>
      </c>
      <c r="J65" s="7">
        <f>dataset!$G65*0.08</f>
        <v>4800</v>
      </c>
      <c r="K65" s="7">
        <f>dataset!$F65*12</f>
        <v>1089600</v>
      </c>
      <c r="L65" s="12">
        <f>IF(dataset!$G65&gt;=200000,38%,IF(dataset!$G65&lt;=145000,12.3%,))</f>
        <v>0.12300000000000001</v>
      </c>
      <c r="M65" s="7">
        <f>dataset!$G65*L66*12</f>
        <v>88560.000000000015</v>
      </c>
      <c r="N6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5" s="7">
        <f>dataset!$K65+dataset!$M65</f>
        <v>1178160</v>
      </c>
      <c r="P65" s="7">
        <f>Payroll_Data_Analysis[[#This Row],[Annual Salary + KPI Bonus]]/12/29.3*31</f>
        <v>103876.45051194538</v>
      </c>
      <c r="Q65" s="7">
        <f>IF(Payroll_Data_Analysis[[#This Row],[Vacation Reserve]]&lt;=2979000,Payroll_Data_Analysis[[#This Row],[Vacation Reserve]]*0.302,2979000*0.302+(Payroll_Data_Analysis[[#This Row],[Vacation Reserve]]-2979000)*0.151)</f>
        <v>31370.688054607504</v>
      </c>
      <c r="R65" s="7">
        <f>Payroll_Data_Analysis[[#This Row],[Monthly Salary]]*11</f>
        <v>998800</v>
      </c>
      <c r="S65" s="7">
        <f>IF(Payroll_Data_Analysis[[#This Row],[11-Month Salary]]&lt;=2979000,Payroll_Data_Analysis[[#This Row],[11-Month Salary]]*0.302,2979000*0.302+(Payroll_Data_Analysis[[#This Row],[11-Month Salary]]-2979000)*0.151)</f>
        <v>301637.59999999998</v>
      </c>
      <c r="T65" s="7">
        <f>IF(Payroll_Data_Analysis[[#This Row],[Base Salary (Monthly)]]&gt;=200000,69507,IF(Payroll_Data_Analysis[[#This Row],[Base Salary (Monthly)]]&gt;=145000,52684,35103))</f>
        <v>35103</v>
      </c>
      <c r="U65" s="7">
        <f>Payroll_Data_Analysis[[#This Row],[Annual KPI Bonus Reserve]]+Payroll_Data_Analysis[[#This Row],[Vacation Reserve]]+Payroll_Data_Analysis[[#This Row],[11-Month Salary]]</f>
        <v>1191236.4505119454</v>
      </c>
      <c r="V65" s="7">
        <f>Payroll_Data_Analysis[[#This Row],[Payroll Taxes (KPI Bonus)]]+Payroll_Data_Analysis[[#This Row],[Payroll Taxes (Vacation)]]+Payroll_Data_Analysis[[#This Row],[Payroll Taxes (Salary)]]</f>
        <v>359753.40805460745</v>
      </c>
      <c r="W65" s="13">
        <f>Payroll_Data_Analysis[[#This Row],[Total Payroll]]+Payroll_Data_Analysis[[#This Row],[Total Payroll Taxes]]</f>
        <v>1550989.8585665529</v>
      </c>
    </row>
    <row r="66" spans="1:23">
      <c r="A66" s="11" t="s">
        <v>647</v>
      </c>
      <c r="B66" s="5" t="s">
        <v>69</v>
      </c>
      <c r="C66" s="5" t="s">
        <v>712</v>
      </c>
      <c r="D66" s="28" t="str">
        <f>VLOOKUP(Payroll_Data_Analysis[[#This Row],[Position]],Position_Map!$A$2:$B$58,2,FALSE)</f>
        <v>Technical</v>
      </c>
      <c r="E66" s="6">
        <v>1</v>
      </c>
      <c r="F66" s="7">
        <v>74000</v>
      </c>
      <c r="G66" s="7">
        <v>50000</v>
      </c>
      <c r="H66" s="7"/>
      <c r="I66" s="7">
        <f>dataset!$F66-dataset!$J66-dataset!$G66-dataset!$H66</f>
        <v>20000</v>
      </c>
      <c r="J66" s="7">
        <f>dataset!$G66*0.08</f>
        <v>4000</v>
      </c>
      <c r="K66" s="7">
        <f>dataset!$F66*12</f>
        <v>888000</v>
      </c>
      <c r="L66" s="12">
        <f>IF(dataset!$G66&gt;=200000,38%,IF(dataset!$G66&lt;=145000,12.3%,))</f>
        <v>0.12300000000000001</v>
      </c>
      <c r="M66" s="7">
        <f>dataset!$G66*L67*12</f>
        <v>73800.000000000015</v>
      </c>
      <c r="N66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66" s="7">
        <f>dataset!$K66+dataset!$M66</f>
        <v>961800</v>
      </c>
      <c r="P66" s="7">
        <f>Payroll_Data_Analysis[[#This Row],[Annual Salary + KPI Bonus]]/12/29.3*31</f>
        <v>84800.341296928324</v>
      </c>
      <c r="Q66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66" s="7">
        <f>Payroll_Data_Analysis[[#This Row],[Monthly Salary]]*11</f>
        <v>814000</v>
      </c>
      <c r="S66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66" s="7">
        <f>IF(Payroll_Data_Analysis[[#This Row],[Base Salary (Monthly)]]&gt;=200000,69507,IF(Payroll_Data_Analysis[[#This Row],[Base Salary (Monthly)]]&gt;=145000,52684,35103))</f>
        <v>35103</v>
      </c>
      <c r="U66" s="7">
        <f>Payroll_Data_Analysis[[#This Row],[Annual KPI Bonus Reserve]]+Payroll_Data_Analysis[[#This Row],[Vacation Reserve]]+Payroll_Data_Analysis[[#This Row],[11-Month Salary]]</f>
        <v>972600.34129692835</v>
      </c>
      <c r="V66" s="7">
        <f>Payroll_Data_Analysis[[#This Row],[Payroll Taxes (KPI Bonus)]]+Payroll_Data_Analysis[[#This Row],[Payroll Taxes (Vacation)]]+Payroll_Data_Analysis[[#This Row],[Payroll Taxes (Salary)]]</f>
        <v>293725.30307167233</v>
      </c>
      <c r="W66" s="13">
        <f>Payroll_Data_Analysis[[#This Row],[Total Payroll]]+Payroll_Data_Analysis[[#This Row],[Total Payroll Taxes]]</f>
        <v>1266325.6443686006</v>
      </c>
    </row>
    <row r="67" spans="1:23">
      <c r="A67" s="11" t="s">
        <v>647</v>
      </c>
      <c r="B67" s="5" t="s">
        <v>70</v>
      </c>
      <c r="C67" s="5" t="s">
        <v>712</v>
      </c>
      <c r="D67" s="28" t="str">
        <f>VLOOKUP(Payroll_Data_Analysis[[#This Row],[Position]],Position_Map!$A$2:$B$58,2,FALSE)</f>
        <v>Technical</v>
      </c>
      <c r="E67" s="6">
        <v>1</v>
      </c>
      <c r="F67" s="7">
        <v>116400</v>
      </c>
      <c r="G67" s="7">
        <v>80000</v>
      </c>
      <c r="H67" s="7"/>
      <c r="I67" s="7">
        <f>dataset!$F67-dataset!$J67-dataset!$G67-dataset!$H67</f>
        <v>30000</v>
      </c>
      <c r="J67" s="7">
        <f>dataset!$G67*0.08</f>
        <v>6400</v>
      </c>
      <c r="K67" s="7">
        <f>dataset!$F67*12</f>
        <v>1396800</v>
      </c>
      <c r="L67" s="12">
        <f>IF(dataset!$G67&gt;=200000,38%,IF(dataset!$G67&lt;=145000,12.3%,))</f>
        <v>0.12300000000000001</v>
      </c>
      <c r="M67" s="7">
        <f>dataset!$G67*L68*12</f>
        <v>364800</v>
      </c>
      <c r="N67" s="7">
        <f>IF(Payroll_Data_Analysis[[#This Row],[Annual KPI Bonus Reserve]]&lt;=2979000,Payroll_Data_Analysis[[#This Row],[Annual KPI Bonus Reserve]]*0.302,2979000*0.302+(Payroll_Data_Analysis[[#This Row],[Annual KPI Bonus Reserve]]-2979000)*0.151)</f>
        <v>110169.59999999999</v>
      </c>
      <c r="O67" s="7">
        <f>dataset!$K67+dataset!$M67</f>
        <v>1761600</v>
      </c>
      <c r="P67" s="7">
        <f>Payroll_Data_Analysis[[#This Row],[Annual Salary + KPI Bonus]]/12/29.3*31</f>
        <v>155317.40614334471</v>
      </c>
      <c r="Q67" s="7">
        <f>IF(Payroll_Data_Analysis[[#This Row],[Vacation Reserve]]&lt;=2979000,Payroll_Data_Analysis[[#This Row],[Vacation Reserve]]*0.302,2979000*0.302+(Payroll_Data_Analysis[[#This Row],[Vacation Reserve]]-2979000)*0.151)</f>
        <v>46905.856655290103</v>
      </c>
      <c r="R67" s="7">
        <f>Payroll_Data_Analysis[[#This Row],[Monthly Salary]]*11</f>
        <v>1280400</v>
      </c>
      <c r="S67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67" s="7">
        <f>IF(Payroll_Data_Analysis[[#This Row],[Base Salary (Monthly)]]&gt;=200000,69507,IF(Payroll_Data_Analysis[[#This Row],[Base Salary (Monthly)]]&gt;=145000,52684,35103))</f>
        <v>35103</v>
      </c>
      <c r="U67" s="7">
        <f>Payroll_Data_Analysis[[#This Row],[Annual KPI Bonus Reserve]]+Payroll_Data_Analysis[[#This Row],[Vacation Reserve]]+Payroll_Data_Analysis[[#This Row],[11-Month Salary]]</f>
        <v>1800517.4061433447</v>
      </c>
      <c r="V67" s="7">
        <f>Payroll_Data_Analysis[[#This Row],[Payroll Taxes (KPI Bonus)]]+Payroll_Data_Analysis[[#This Row],[Payroll Taxes (Vacation)]]+Payroll_Data_Analysis[[#This Row],[Payroll Taxes (Salary)]]</f>
        <v>543756.25665529002</v>
      </c>
      <c r="W67" s="13">
        <f>Payroll_Data_Analysis[[#This Row],[Total Payroll]]+Payroll_Data_Analysis[[#This Row],[Total Payroll Taxes]]</f>
        <v>2344273.6627986347</v>
      </c>
    </row>
    <row r="68" spans="1:23">
      <c r="A68" s="11" t="s">
        <v>648</v>
      </c>
      <c r="B68" s="5" t="s">
        <v>71</v>
      </c>
      <c r="C68" s="5" t="s">
        <v>713</v>
      </c>
      <c r="D68" s="28" t="str">
        <f>VLOOKUP(Payroll_Data_Analysis[[#This Row],[Position]],Position_Map!$A$2:$B$58,2,FALSE)</f>
        <v>Management</v>
      </c>
      <c r="E68" s="6">
        <v>1</v>
      </c>
      <c r="F68" s="7">
        <v>396000</v>
      </c>
      <c r="G68" s="7">
        <v>200000</v>
      </c>
      <c r="H68" s="7"/>
      <c r="I68" s="7">
        <f>dataset!$F68-dataset!$J68-dataset!$G68-dataset!$H68</f>
        <v>180000</v>
      </c>
      <c r="J68" s="7">
        <f>dataset!$G68*0.08</f>
        <v>16000</v>
      </c>
      <c r="K68" s="7">
        <f>dataset!$F68*12</f>
        <v>4752000</v>
      </c>
      <c r="L68" s="12">
        <f>IF(dataset!$G68&gt;=200000,38%,IF(dataset!$G68&lt;=145000,12.3%,))</f>
        <v>0.38</v>
      </c>
      <c r="M68" s="7">
        <f>dataset!$G68*L69*12</f>
        <v>295200.00000000006</v>
      </c>
      <c r="N68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68" s="7">
        <f>dataset!$K68+dataset!$M68</f>
        <v>5047200</v>
      </c>
      <c r="P68" s="7">
        <f>Payroll_Data_Analysis[[#This Row],[Annual Salary + KPI Bonus]]/12/29.3*31</f>
        <v>445003.41296928324</v>
      </c>
      <c r="Q68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68" s="7">
        <f>Payroll_Data_Analysis[[#This Row],[Monthly Salary]]*11</f>
        <v>4356000</v>
      </c>
      <c r="S68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68" s="7">
        <f>IF(Payroll_Data_Analysis[[#This Row],[Base Salary (Monthly)]]&gt;=200000,69507,IF(Payroll_Data_Analysis[[#This Row],[Base Salary (Monthly)]]&gt;=145000,52684,35103))</f>
        <v>69507</v>
      </c>
      <c r="U68" s="7">
        <f>Payroll_Data_Analysis[[#This Row],[Annual KPI Bonus Reserve]]+Payroll_Data_Analysis[[#This Row],[Vacation Reserve]]+Payroll_Data_Analysis[[#This Row],[11-Month Salary]]</f>
        <v>5096203.4129692838</v>
      </c>
      <c r="V68" s="7">
        <f>Payroll_Data_Analysis[[#This Row],[Payroll Taxes (KPI Bonus)]]+Payroll_Data_Analysis[[#This Row],[Payroll Taxes (Vacation)]]+Payroll_Data_Analysis[[#This Row],[Payroll Taxes (Salary)]]</f>
        <v>1331126.4307167237</v>
      </c>
      <c r="W68" s="13">
        <f>Payroll_Data_Analysis[[#This Row],[Total Payroll]]+Payroll_Data_Analysis[[#This Row],[Total Payroll Taxes]]</f>
        <v>6427329.843686007</v>
      </c>
    </row>
    <row r="69" spans="1:23">
      <c r="A69" s="11" t="s">
        <v>648</v>
      </c>
      <c r="B69" s="5" t="s">
        <v>72</v>
      </c>
      <c r="C69" s="5" t="s">
        <v>703</v>
      </c>
      <c r="D69" s="28" t="str">
        <f>VLOOKUP(Payroll_Data_Analysis[[#This Row],[Position]],Position_Map!$A$2:$B$58,2,FALSE)</f>
        <v>Management</v>
      </c>
      <c r="E69" s="6">
        <v>1</v>
      </c>
      <c r="F69" s="7">
        <v>261600</v>
      </c>
      <c r="G69" s="7">
        <v>145000</v>
      </c>
      <c r="H69" s="7"/>
      <c r="I69" s="7">
        <f>dataset!$F69-dataset!$J69-dataset!$G69-dataset!$H69</f>
        <v>105000</v>
      </c>
      <c r="J69" s="7">
        <f>dataset!$G69*0.08</f>
        <v>11600</v>
      </c>
      <c r="K69" s="7">
        <f>dataset!$F69*12</f>
        <v>3139200</v>
      </c>
      <c r="L69" s="12">
        <f>IF(dataset!$G69&gt;=200000,38%,IF(dataset!$G69&lt;=145000,12.3%,))</f>
        <v>0.12300000000000001</v>
      </c>
      <c r="M69" s="7">
        <f>dataset!$G69*L70*12</f>
        <v>214020</v>
      </c>
      <c r="N6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9" s="7">
        <f>dataset!$K69+dataset!$M69</f>
        <v>3353220</v>
      </c>
      <c r="P69" s="7">
        <f>Payroll_Data_Analysis[[#This Row],[Annual Salary + KPI Bonus]]/12/29.3*31</f>
        <v>295647.95221843006</v>
      </c>
      <c r="Q69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69" s="7">
        <f>Payroll_Data_Analysis[[#This Row],[Monthly Salary]]*11</f>
        <v>2877600</v>
      </c>
      <c r="S69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69" s="7">
        <f>IF(Payroll_Data_Analysis[[#This Row],[Base Salary (Monthly)]]&gt;=200000,69507,IF(Payroll_Data_Analysis[[#This Row],[Base Salary (Monthly)]]&gt;=145000,52684,35103))</f>
        <v>52684</v>
      </c>
      <c r="U69" s="7">
        <f>Payroll_Data_Analysis[[#This Row],[Annual KPI Bonus Reserve]]+Payroll_Data_Analysis[[#This Row],[Vacation Reserve]]+Payroll_Data_Analysis[[#This Row],[11-Month Salary]]</f>
        <v>3387267.9522184301</v>
      </c>
      <c r="V69" s="7">
        <f>Payroll_Data_Analysis[[#This Row],[Payroll Taxes (KPI Bonus)]]+Payroll_Data_Analysis[[#This Row],[Payroll Taxes (Vacation)]]+Payroll_Data_Analysis[[#This Row],[Payroll Taxes (Salary)]]</f>
        <v>1022954.9215699658</v>
      </c>
      <c r="W69" s="13">
        <f>Payroll_Data_Analysis[[#This Row],[Total Payroll]]+Payroll_Data_Analysis[[#This Row],[Total Payroll Taxes]]</f>
        <v>4410222.8737883959</v>
      </c>
    </row>
    <row r="70" spans="1:23">
      <c r="A70" s="11" t="s">
        <v>648</v>
      </c>
      <c r="B70" s="5" t="s">
        <v>73</v>
      </c>
      <c r="C70" s="5" t="s">
        <v>703</v>
      </c>
      <c r="D70" s="28" t="str">
        <f>VLOOKUP(Payroll_Data_Analysis[[#This Row],[Position]],Position_Map!$A$2:$B$58,2,FALSE)</f>
        <v>Management</v>
      </c>
      <c r="E70" s="6">
        <v>1</v>
      </c>
      <c r="F70" s="7">
        <v>236600</v>
      </c>
      <c r="G70" s="7">
        <v>145000</v>
      </c>
      <c r="H70" s="7"/>
      <c r="I70" s="7">
        <f>dataset!$F70-dataset!$J70-dataset!$G70-dataset!$H70</f>
        <v>80000</v>
      </c>
      <c r="J70" s="7">
        <f>dataset!$G70*0.08</f>
        <v>11600</v>
      </c>
      <c r="K70" s="7">
        <f>dataset!$F70*12</f>
        <v>2839200</v>
      </c>
      <c r="L70" s="12">
        <f>IF(dataset!$G70&gt;=200000,38%,IF(dataset!$G70&lt;=145000,12.3%,))</f>
        <v>0.12300000000000001</v>
      </c>
      <c r="M70" s="7">
        <f>dataset!$G70*L71*12</f>
        <v>214020</v>
      </c>
      <c r="N7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70" s="7">
        <f>dataset!$K70+dataset!$M70</f>
        <v>3053220</v>
      </c>
      <c r="P70" s="7">
        <f>Payroll_Data_Analysis[[#This Row],[Annual Salary + KPI Bonus]]/12/29.3*31</f>
        <v>269197.44027303759</v>
      </c>
      <c r="Q70" s="7">
        <f>IF(Payroll_Data_Analysis[[#This Row],[Vacation Reserve]]&lt;=2979000,Payroll_Data_Analysis[[#This Row],[Vacation Reserve]]*0.302,2979000*0.302+(Payroll_Data_Analysis[[#This Row],[Vacation Reserve]]-2979000)*0.151)</f>
        <v>81297.626962457347</v>
      </c>
      <c r="R70" s="7">
        <f>Payroll_Data_Analysis[[#This Row],[Monthly Salary]]*11</f>
        <v>2602600</v>
      </c>
      <c r="S70" s="7">
        <f>IF(Payroll_Data_Analysis[[#This Row],[11-Month Salary]]&lt;=2979000,Payroll_Data_Analysis[[#This Row],[11-Month Salary]]*0.302,2979000*0.302+(Payroll_Data_Analysis[[#This Row],[11-Month Salary]]-2979000)*0.151)</f>
        <v>785985.2</v>
      </c>
      <c r="T70" s="7">
        <f>IF(Payroll_Data_Analysis[[#This Row],[Base Salary (Monthly)]]&gt;=200000,69507,IF(Payroll_Data_Analysis[[#This Row],[Base Salary (Monthly)]]&gt;=145000,52684,35103))</f>
        <v>52684</v>
      </c>
      <c r="U70" s="7">
        <f>Payroll_Data_Analysis[[#This Row],[Annual KPI Bonus Reserve]]+Payroll_Data_Analysis[[#This Row],[Vacation Reserve]]+Payroll_Data_Analysis[[#This Row],[11-Month Salary]]</f>
        <v>3085817.4402730376</v>
      </c>
      <c r="V70" s="7">
        <f>Payroll_Data_Analysis[[#This Row],[Payroll Taxes (KPI Bonus)]]+Payroll_Data_Analysis[[#This Row],[Payroll Taxes (Vacation)]]+Payroll_Data_Analysis[[#This Row],[Payroll Taxes (Salary)]]</f>
        <v>931916.86696245731</v>
      </c>
      <c r="W70" s="13">
        <f>Payroll_Data_Analysis[[#This Row],[Total Payroll]]+Payroll_Data_Analysis[[#This Row],[Total Payroll Taxes]]</f>
        <v>4017734.3072354952</v>
      </c>
    </row>
    <row r="71" spans="1:23">
      <c r="A71" s="11" t="s">
        <v>648</v>
      </c>
      <c r="B71" s="5" t="s">
        <v>74</v>
      </c>
      <c r="C71" s="5" t="s">
        <v>704</v>
      </c>
      <c r="D71" s="28" t="str">
        <f>VLOOKUP(Payroll_Data_Analysis[[#This Row],[Position]],Position_Map!$A$2:$B$58,2,FALSE)</f>
        <v>Management</v>
      </c>
      <c r="E71" s="6">
        <v>1</v>
      </c>
      <c r="F71" s="7">
        <v>236600</v>
      </c>
      <c r="G71" s="7">
        <v>145000</v>
      </c>
      <c r="H71" s="7"/>
      <c r="I71" s="7">
        <f>dataset!$F71-dataset!$J71-dataset!$G71-dataset!$H71</f>
        <v>80000</v>
      </c>
      <c r="J71" s="7">
        <f>dataset!$G71*0.08</f>
        <v>11600</v>
      </c>
      <c r="K71" s="7">
        <f>dataset!$F71*12</f>
        <v>2839200</v>
      </c>
      <c r="L71" s="12">
        <f>IF(dataset!$G71&gt;=200000,38%,IF(dataset!$G71&lt;=145000,12.3%,))</f>
        <v>0.12300000000000001</v>
      </c>
      <c r="M71" s="7">
        <f>dataset!$G71*L72*12</f>
        <v>214020</v>
      </c>
      <c r="N7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71" s="7">
        <f>dataset!$K71+dataset!$M71</f>
        <v>3053220</v>
      </c>
      <c r="P71" s="7">
        <f>Payroll_Data_Analysis[[#This Row],[Annual Salary + KPI Bonus]]/12/29.3*31</f>
        <v>269197.44027303759</v>
      </c>
      <c r="Q71" s="7">
        <f>IF(Payroll_Data_Analysis[[#This Row],[Vacation Reserve]]&lt;=2979000,Payroll_Data_Analysis[[#This Row],[Vacation Reserve]]*0.302,2979000*0.302+(Payroll_Data_Analysis[[#This Row],[Vacation Reserve]]-2979000)*0.151)</f>
        <v>81297.626962457347</v>
      </c>
      <c r="R71" s="7">
        <f>Payroll_Data_Analysis[[#This Row],[Monthly Salary]]*11</f>
        <v>2602600</v>
      </c>
      <c r="S71" s="7">
        <f>IF(Payroll_Data_Analysis[[#This Row],[11-Month Salary]]&lt;=2979000,Payroll_Data_Analysis[[#This Row],[11-Month Salary]]*0.302,2979000*0.302+(Payroll_Data_Analysis[[#This Row],[11-Month Salary]]-2979000)*0.151)</f>
        <v>785985.2</v>
      </c>
      <c r="T71" s="7">
        <f>IF(Payroll_Data_Analysis[[#This Row],[Base Salary (Monthly)]]&gt;=200000,69507,IF(Payroll_Data_Analysis[[#This Row],[Base Salary (Monthly)]]&gt;=145000,52684,35103))</f>
        <v>52684</v>
      </c>
      <c r="U71" s="7">
        <f>Payroll_Data_Analysis[[#This Row],[Annual KPI Bonus Reserve]]+Payroll_Data_Analysis[[#This Row],[Vacation Reserve]]+Payroll_Data_Analysis[[#This Row],[11-Month Salary]]</f>
        <v>3085817.4402730376</v>
      </c>
      <c r="V71" s="7">
        <f>Payroll_Data_Analysis[[#This Row],[Payroll Taxes (KPI Bonus)]]+Payroll_Data_Analysis[[#This Row],[Payroll Taxes (Vacation)]]+Payroll_Data_Analysis[[#This Row],[Payroll Taxes (Salary)]]</f>
        <v>931916.86696245731</v>
      </c>
      <c r="W71" s="13">
        <f>Payroll_Data_Analysis[[#This Row],[Total Payroll]]+Payroll_Data_Analysis[[#This Row],[Total Payroll Taxes]]</f>
        <v>4017734.3072354952</v>
      </c>
    </row>
    <row r="72" spans="1:23">
      <c r="A72" s="11" t="s">
        <v>648</v>
      </c>
      <c r="B72" s="5" t="s">
        <v>75</v>
      </c>
      <c r="C72" s="5" t="s">
        <v>705</v>
      </c>
      <c r="D72" s="28" t="str">
        <f>VLOOKUP(Payroll_Data_Analysis[[#This Row],[Position]],Position_Map!$A$2:$B$58,2,FALSE)</f>
        <v>Professional</v>
      </c>
      <c r="E72" s="6">
        <v>1</v>
      </c>
      <c r="F72" s="7">
        <v>136400</v>
      </c>
      <c r="G72" s="7">
        <v>145000</v>
      </c>
      <c r="H72" s="7"/>
      <c r="I72" s="7">
        <f>dataset!$F72-dataset!$J72-dataset!$G72-dataset!$H72</f>
        <v>-20200</v>
      </c>
      <c r="J72" s="7">
        <f>dataset!$G72*0.08</f>
        <v>11600</v>
      </c>
      <c r="K72" s="7">
        <f>dataset!$F72*12</f>
        <v>1636800</v>
      </c>
      <c r="L72" s="12">
        <f>IF(dataset!$G72&gt;=200000,38%,IF(dataset!$G72&lt;=145000,12.3%,))</f>
        <v>0.12300000000000001</v>
      </c>
      <c r="M72" s="7">
        <f>dataset!$G72*L73*12</f>
        <v>661200</v>
      </c>
      <c r="N72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72" s="7">
        <f>dataset!$K72+dataset!$M72</f>
        <v>2298000</v>
      </c>
      <c r="P72" s="7">
        <f>Payroll_Data_Analysis[[#This Row],[Annual Salary + KPI Bonus]]/12/29.3*31</f>
        <v>202610.92150170647</v>
      </c>
      <c r="Q72" s="7">
        <f>IF(Payroll_Data_Analysis[[#This Row],[Vacation Reserve]]&lt;=2979000,Payroll_Data_Analysis[[#This Row],[Vacation Reserve]]*0.302,2979000*0.302+(Payroll_Data_Analysis[[#This Row],[Vacation Reserve]]-2979000)*0.151)</f>
        <v>61188.498293515353</v>
      </c>
      <c r="R72" s="7">
        <f>Payroll_Data_Analysis[[#This Row],[Monthly Salary]]*11</f>
        <v>1500400</v>
      </c>
      <c r="S72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72" s="7">
        <f>IF(Payroll_Data_Analysis[[#This Row],[Base Salary (Monthly)]]&gt;=200000,69507,IF(Payroll_Data_Analysis[[#This Row],[Base Salary (Monthly)]]&gt;=145000,52684,35103))</f>
        <v>52684</v>
      </c>
      <c r="U72" s="7">
        <f>Payroll_Data_Analysis[[#This Row],[Annual KPI Bonus Reserve]]+Payroll_Data_Analysis[[#This Row],[Vacation Reserve]]+Payroll_Data_Analysis[[#This Row],[11-Month Salary]]</f>
        <v>2364210.9215017064</v>
      </c>
      <c r="V72" s="7">
        <f>Payroll_Data_Analysis[[#This Row],[Payroll Taxes (KPI Bonus)]]+Payroll_Data_Analysis[[#This Row],[Payroll Taxes (Vacation)]]+Payroll_Data_Analysis[[#This Row],[Payroll Taxes (Salary)]]</f>
        <v>713991.69829351536</v>
      </c>
      <c r="W72" s="13">
        <f>Payroll_Data_Analysis[[#This Row],[Total Payroll]]+Payroll_Data_Analysis[[#This Row],[Total Payroll Taxes]]</f>
        <v>3078202.6197952218</v>
      </c>
    </row>
    <row r="73" spans="1:23" ht="17.25" customHeight="1">
      <c r="A73" s="11" t="s">
        <v>648</v>
      </c>
      <c r="B73" s="5" t="s">
        <v>76</v>
      </c>
      <c r="C73" s="5" t="s">
        <v>714</v>
      </c>
      <c r="D73" s="28" t="str">
        <f>VLOOKUP(Payroll_Data_Analysis[[#This Row],[Position]],Position_Map!$A$2:$B$58,2,FALSE)</f>
        <v>Management</v>
      </c>
      <c r="E73" s="6">
        <v>1</v>
      </c>
      <c r="F73" s="7">
        <v>366000</v>
      </c>
      <c r="G73" s="7">
        <v>200000</v>
      </c>
      <c r="H73" s="7"/>
      <c r="I73" s="7">
        <f>dataset!$F73-dataset!$J73-dataset!$G73-dataset!$H73</f>
        <v>150000</v>
      </c>
      <c r="J73" s="7">
        <f>dataset!$G73*0.08</f>
        <v>16000</v>
      </c>
      <c r="K73" s="7">
        <f>dataset!$F73*12</f>
        <v>4392000</v>
      </c>
      <c r="L73" s="14">
        <f>IF(dataset!$G73&gt;=200000,38%,IF(dataset!$G73&lt;=145000,12.3%,))</f>
        <v>0.38</v>
      </c>
      <c r="M73" s="7">
        <f>dataset!$G73*L74*12</f>
        <v>912000</v>
      </c>
      <c r="N73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73" s="7">
        <f>dataset!$K73+dataset!$M73</f>
        <v>5304000</v>
      </c>
      <c r="P73" s="7">
        <f>Payroll_Data_Analysis[[#This Row],[Annual Salary + KPI Bonus]]/12/29.3*31</f>
        <v>467645.05119453929</v>
      </c>
      <c r="Q73" s="7">
        <f>IF(Payroll_Data_Analysis[[#This Row],[Vacation Reserve]]&lt;=2979000,Payroll_Data_Analysis[[#This Row],[Vacation Reserve]]*0.302,2979000*0.302+(Payroll_Data_Analysis[[#This Row],[Vacation Reserve]]-2979000)*0.151)</f>
        <v>141228.80546075085</v>
      </c>
      <c r="R73" s="7">
        <f>Payroll_Data_Analysis[[#This Row],[Monthly Salary]]*11</f>
        <v>4026000</v>
      </c>
      <c r="S73" s="7">
        <f>IF(Payroll_Data_Analysis[[#This Row],[11-Month Salary]]&lt;=2979000,Payroll_Data_Analysis[[#This Row],[11-Month Salary]]*0.302,2979000*0.302+(Payroll_Data_Analysis[[#This Row],[11-Month Salary]]-2979000)*0.151)</f>
        <v>1057755</v>
      </c>
      <c r="T73" s="7">
        <f>IF(Payroll_Data_Analysis[[#This Row],[Base Salary (Monthly)]]&gt;=200000,69507,IF(Payroll_Data_Analysis[[#This Row],[Base Salary (Monthly)]]&gt;=145000,52684,35103))</f>
        <v>69507</v>
      </c>
      <c r="U73" s="7">
        <f>Payroll_Data_Analysis[[#This Row],[Annual KPI Bonus Reserve]]+Payroll_Data_Analysis[[#This Row],[Vacation Reserve]]+Payroll_Data_Analysis[[#This Row],[11-Month Salary]]</f>
        <v>5405645.0511945393</v>
      </c>
      <c r="V73" s="7">
        <f>Payroll_Data_Analysis[[#This Row],[Payroll Taxes (KPI Bonus)]]+Payroll_Data_Analysis[[#This Row],[Payroll Taxes (Vacation)]]+Payroll_Data_Analysis[[#This Row],[Payroll Taxes (Salary)]]</f>
        <v>1474407.8054607508</v>
      </c>
      <c r="W73" s="13">
        <f>Payroll_Data_Analysis[[#This Row],[Total Payroll]]+Payroll_Data_Analysis[[#This Row],[Total Payroll Taxes]]</f>
        <v>6880052.8566552904</v>
      </c>
    </row>
    <row r="74" spans="1:23">
      <c r="A74" s="11" t="s">
        <v>648</v>
      </c>
      <c r="B74" s="5" t="s">
        <v>77</v>
      </c>
      <c r="C74" s="5" t="s">
        <v>703</v>
      </c>
      <c r="D74" s="28" t="str">
        <f>VLOOKUP(Payroll_Data_Analysis[[#This Row],[Position]],Position_Map!$A$2:$B$58,2,FALSE)</f>
        <v>Management</v>
      </c>
      <c r="E74" s="6">
        <v>1</v>
      </c>
      <c r="F74" s="7">
        <v>301000</v>
      </c>
      <c r="G74" s="7">
        <v>200000</v>
      </c>
      <c r="H74" s="7"/>
      <c r="I74" s="7">
        <f>dataset!$F74-dataset!$J74-dataset!$G74-dataset!$H74</f>
        <v>85000</v>
      </c>
      <c r="J74" s="7">
        <f>dataset!$G74*0.08</f>
        <v>16000</v>
      </c>
      <c r="K74" s="7">
        <f>dataset!$F74*12</f>
        <v>3612000</v>
      </c>
      <c r="L74" s="12">
        <f>IF(dataset!$G74&gt;=200000,38%,IF(dataset!$G74&lt;=145000,12.3%,))</f>
        <v>0.38</v>
      </c>
      <c r="M74" s="7">
        <f>dataset!$G74*L75*12</f>
        <v>295200.00000000006</v>
      </c>
      <c r="N74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74" s="7">
        <f>dataset!$K74+dataset!$M74</f>
        <v>3907200</v>
      </c>
      <c r="P74" s="7">
        <f>Payroll_Data_Analysis[[#This Row],[Annual Salary + KPI Bonus]]/12/29.3*31</f>
        <v>344491.46757679182</v>
      </c>
      <c r="Q74" s="7">
        <f>IF(Payroll_Data_Analysis[[#This Row],[Vacation Reserve]]&lt;=2979000,Payroll_Data_Analysis[[#This Row],[Vacation Reserve]]*0.302,2979000*0.302+(Payroll_Data_Analysis[[#This Row],[Vacation Reserve]]-2979000)*0.151)</f>
        <v>104036.42320819113</v>
      </c>
      <c r="R74" s="7">
        <f>Payroll_Data_Analysis[[#This Row],[Monthly Salary]]*11</f>
        <v>3311000</v>
      </c>
      <c r="S74" s="7">
        <f>IF(Payroll_Data_Analysis[[#This Row],[11-Month Salary]]&lt;=2979000,Payroll_Data_Analysis[[#This Row],[11-Month Salary]]*0.302,2979000*0.302+(Payroll_Data_Analysis[[#This Row],[11-Month Salary]]-2979000)*0.151)</f>
        <v>949790</v>
      </c>
      <c r="T74" s="7">
        <f>IF(Payroll_Data_Analysis[[#This Row],[Base Salary (Monthly)]]&gt;=200000,69507,IF(Payroll_Data_Analysis[[#This Row],[Base Salary (Monthly)]]&gt;=145000,52684,35103))</f>
        <v>69507</v>
      </c>
      <c r="U74" s="7">
        <f>Payroll_Data_Analysis[[#This Row],[Annual KPI Bonus Reserve]]+Payroll_Data_Analysis[[#This Row],[Vacation Reserve]]+Payroll_Data_Analysis[[#This Row],[11-Month Salary]]</f>
        <v>3950691.467576792</v>
      </c>
      <c r="V74" s="7">
        <f>Payroll_Data_Analysis[[#This Row],[Payroll Taxes (KPI Bonus)]]+Payroll_Data_Analysis[[#This Row],[Payroll Taxes (Vacation)]]+Payroll_Data_Analysis[[#This Row],[Payroll Taxes (Salary)]]</f>
        <v>1142976.8232081912</v>
      </c>
      <c r="W74" s="13">
        <f>Payroll_Data_Analysis[[#This Row],[Total Payroll]]+Payroll_Data_Analysis[[#This Row],[Total Payroll Taxes]]</f>
        <v>5093668.290784983</v>
      </c>
    </row>
    <row r="75" spans="1:23">
      <c r="A75" s="11" t="s">
        <v>648</v>
      </c>
      <c r="B75" s="5" t="s">
        <v>78</v>
      </c>
      <c r="C75" s="5" t="s">
        <v>708</v>
      </c>
      <c r="D75" s="28" t="str">
        <f>VLOOKUP(Payroll_Data_Analysis[[#This Row],[Position]],Position_Map!$A$2:$B$58,2,FALSE)</f>
        <v>Professional</v>
      </c>
      <c r="E75" s="6">
        <v>1</v>
      </c>
      <c r="F75" s="7">
        <v>158000</v>
      </c>
      <c r="G75" s="7">
        <v>100000</v>
      </c>
      <c r="H75" s="7"/>
      <c r="I75" s="7">
        <f>dataset!$F75-dataset!$J75-dataset!$G75-dataset!$H75</f>
        <v>50000</v>
      </c>
      <c r="J75" s="7">
        <f>dataset!$G75*0.08</f>
        <v>8000</v>
      </c>
      <c r="K75" s="7">
        <f>dataset!$F75*12</f>
        <v>1896000</v>
      </c>
      <c r="L75" s="12">
        <f>IF(dataset!$G75&gt;=200000,38%,IF(dataset!$G75&lt;=145000,12.3%,))</f>
        <v>0.12300000000000001</v>
      </c>
      <c r="M75" s="7">
        <f>dataset!$G75*L76*12</f>
        <v>456000</v>
      </c>
      <c r="N75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75" s="7">
        <f>dataset!$K75+dataset!$M75</f>
        <v>2352000</v>
      </c>
      <c r="P75" s="7">
        <f>Payroll_Data_Analysis[[#This Row],[Annual Salary + KPI Bonus]]/12/29.3*31</f>
        <v>207372.01365187712</v>
      </c>
      <c r="Q75" s="7">
        <f>IF(Payroll_Data_Analysis[[#This Row],[Vacation Reserve]]&lt;=2979000,Payroll_Data_Analysis[[#This Row],[Vacation Reserve]]*0.302,2979000*0.302+(Payroll_Data_Analysis[[#This Row],[Vacation Reserve]]-2979000)*0.151)</f>
        <v>62626.34812286689</v>
      </c>
      <c r="R75" s="7">
        <f>Payroll_Data_Analysis[[#This Row],[Monthly Salary]]*11</f>
        <v>1738000</v>
      </c>
      <c r="S75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75" s="7">
        <f>IF(Payroll_Data_Analysis[[#This Row],[Base Salary (Monthly)]]&gt;=200000,69507,IF(Payroll_Data_Analysis[[#This Row],[Base Salary (Monthly)]]&gt;=145000,52684,35103))</f>
        <v>35103</v>
      </c>
      <c r="U75" s="7">
        <f>Payroll_Data_Analysis[[#This Row],[Annual KPI Bonus Reserve]]+Payroll_Data_Analysis[[#This Row],[Vacation Reserve]]+Payroll_Data_Analysis[[#This Row],[11-Month Salary]]</f>
        <v>2401372.0136518772</v>
      </c>
      <c r="V75" s="7">
        <f>Payroll_Data_Analysis[[#This Row],[Payroll Taxes (KPI Bonus)]]+Payroll_Data_Analysis[[#This Row],[Payroll Taxes (Vacation)]]+Payroll_Data_Analysis[[#This Row],[Payroll Taxes (Salary)]]</f>
        <v>725214.34812286682</v>
      </c>
      <c r="W75" s="13">
        <f>Payroll_Data_Analysis[[#This Row],[Total Payroll]]+Payroll_Data_Analysis[[#This Row],[Total Payroll Taxes]]</f>
        <v>3126586.361774744</v>
      </c>
    </row>
    <row r="76" spans="1:23">
      <c r="A76" s="11" t="s">
        <v>648</v>
      </c>
      <c r="B76" s="5" t="s">
        <v>79</v>
      </c>
      <c r="C76" s="5" t="s">
        <v>699</v>
      </c>
      <c r="D76" s="28" t="str">
        <f>VLOOKUP(Payroll_Data_Analysis[[#This Row],[Position]],Position_Map!$A$2:$B$58,2,FALSE)</f>
        <v>Professional</v>
      </c>
      <c r="E76" s="6">
        <v>1</v>
      </c>
      <c r="F76" s="7">
        <v>248000</v>
      </c>
      <c r="G76" s="7">
        <v>200000</v>
      </c>
      <c r="H76" s="7"/>
      <c r="I76" s="7">
        <f>dataset!$F76-dataset!$J76-dataset!$G76-dataset!$H76</f>
        <v>32000</v>
      </c>
      <c r="J76" s="7">
        <f>dataset!$G76*0.08</f>
        <v>16000</v>
      </c>
      <c r="K76" s="7">
        <f>dataset!$F76*12</f>
        <v>2976000</v>
      </c>
      <c r="L76" s="12">
        <f>IF(dataset!$G76&gt;=200000,38%,IF(dataset!$G76&lt;=145000,12.3%,))</f>
        <v>0.38</v>
      </c>
      <c r="M76" s="7">
        <f>dataset!$G76*L77*12</f>
        <v>912000</v>
      </c>
      <c r="N76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76" s="7">
        <f>dataset!$K76+dataset!$M76</f>
        <v>3888000</v>
      </c>
      <c r="P76" s="7">
        <f>Payroll_Data_Analysis[[#This Row],[Annual Salary + KPI Bonus]]/12/29.3*31</f>
        <v>342798.63481228665</v>
      </c>
      <c r="Q76" s="7">
        <f>IF(Payroll_Data_Analysis[[#This Row],[Vacation Reserve]]&lt;=2979000,Payroll_Data_Analysis[[#This Row],[Vacation Reserve]]*0.302,2979000*0.302+(Payroll_Data_Analysis[[#This Row],[Vacation Reserve]]-2979000)*0.151)</f>
        <v>103525.18771331056</v>
      </c>
      <c r="R76" s="7">
        <f>Payroll_Data_Analysis[[#This Row],[Monthly Salary]]*11</f>
        <v>2728000</v>
      </c>
      <c r="S76" s="7">
        <f>IF(Payroll_Data_Analysis[[#This Row],[11-Month Salary]]&lt;=2979000,Payroll_Data_Analysis[[#This Row],[11-Month Salary]]*0.302,2979000*0.302+(Payroll_Data_Analysis[[#This Row],[11-Month Salary]]-2979000)*0.151)</f>
        <v>823856</v>
      </c>
      <c r="T76" s="7">
        <f>IF(Payroll_Data_Analysis[[#This Row],[Base Salary (Monthly)]]&gt;=200000,69507,IF(Payroll_Data_Analysis[[#This Row],[Base Salary (Monthly)]]&gt;=145000,52684,35103))</f>
        <v>69507</v>
      </c>
      <c r="U76" s="7">
        <f>Payroll_Data_Analysis[[#This Row],[Annual KPI Bonus Reserve]]+Payroll_Data_Analysis[[#This Row],[Vacation Reserve]]+Payroll_Data_Analysis[[#This Row],[11-Month Salary]]</f>
        <v>3982798.6348122866</v>
      </c>
      <c r="V76" s="7">
        <f>Payroll_Data_Analysis[[#This Row],[Payroll Taxes (KPI Bonus)]]+Payroll_Data_Analysis[[#This Row],[Payroll Taxes (Vacation)]]+Payroll_Data_Analysis[[#This Row],[Payroll Taxes (Salary)]]</f>
        <v>1202805.1877133106</v>
      </c>
      <c r="W76" s="13">
        <f>Payroll_Data_Analysis[[#This Row],[Total Payroll]]+Payroll_Data_Analysis[[#This Row],[Total Payroll Taxes]]</f>
        <v>5185603.8225255972</v>
      </c>
    </row>
    <row r="77" spans="1:23">
      <c r="A77" s="11" t="s">
        <v>648</v>
      </c>
      <c r="B77" s="5" t="s">
        <v>80</v>
      </c>
      <c r="C77" s="5" t="s">
        <v>715</v>
      </c>
      <c r="D77" s="28" t="str">
        <f>VLOOKUP(Payroll_Data_Analysis[[#This Row],[Position]],Position_Map!$A$2:$B$58,2,FALSE)</f>
        <v>Management</v>
      </c>
      <c r="E77" s="6">
        <v>1</v>
      </c>
      <c r="F77" s="7">
        <v>366000</v>
      </c>
      <c r="G77" s="7">
        <v>200000</v>
      </c>
      <c r="H77" s="7"/>
      <c r="I77" s="7">
        <f>dataset!$F77-dataset!$J77-dataset!$G77-dataset!$H77</f>
        <v>150000</v>
      </c>
      <c r="J77" s="7">
        <f>dataset!$G77*0.08</f>
        <v>16000</v>
      </c>
      <c r="K77" s="7">
        <f>dataset!$F77*12</f>
        <v>4392000</v>
      </c>
      <c r="L77" s="12">
        <f>IF(dataset!$G77&gt;=200000,38%,IF(dataset!$G77&lt;=145000,12.3%,))</f>
        <v>0.38</v>
      </c>
      <c r="M77" s="7">
        <f>dataset!$G77*L78*12</f>
        <v>912000</v>
      </c>
      <c r="N77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77" s="7">
        <f>dataset!$K77+dataset!$M77</f>
        <v>5304000</v>
      </c>
      <c r="P77" s="7">
        <f>Payroll_Data_Analysis[[#This Row],[Annual Salary + KPI Bonus]]/12/29.3*31</f>
        <v>467645.05119453929</v>
      </c>
      <c r="Q77" s="7">
        <f>IF(Payroll_Data_Analysis[[#This Row],[Vacation Reserve]]&lt;=2979000,Payroll_Data_Analysis[[#This Row],[Vacation Reserve]]*0.302,2979000*0.302+(Payroll_Data_Analysis[[#This Row],[Vacation Reserve]]-2979000)*0.151)</f>
        <v>141228.80546075085</v>
      </c>
      <c r="R77" s="7">
        <f>Payroll_Data_Analysis[[#This Row],[Monthly Salary]]*11</f>
        <v>4026000</v>
      </c>
      <c r="S77" s="7">
        <f>IF(Payroll_Data_Analysis[[#This Row],[11-Month Salary]]&lt;=2979000,Payroll_Data_Analysis[[#This Row],[11-Month Salary]]*0.302,2979000*0.302+(Payroll_Data_Analysis[[#This Row],[11-Month Salary]]-2979000)*0.151)</f>
        <v>1057755</v>
      </c>
      <c r="T77" s="7">
        <f>IF(Payroll_Data_Analysis[[#This Row],[Base Salary (Monthly)]]&gt;=200000,69507,IF(Payroll_Data_Analysis[[#This Row],[Base Salary (Monthly)]]&gt;=145000,52684,35103))</f>
        <v>69507</v>
      </c>
      <c r="U77" s="7">
        <f>Payroll_Data_Analysis[[#This Row],[Annual KPI Bonus Reserve]]+Payroll_Data_Analysis[[#This Row],[Vacation Reserve]]+Payroll_Data_Analysis[[#This Row],[11-Month Salary]]</f>
        <v>5405645.0511945393</v>
      </c>
      <c r="V77" s="7">
        <f>Payroll_Data_Analysis[[#This Row],[Payroll Taxes (KPI Bonus)]]+Payroll_Data_Analysis[[#This Row],[Payroll Taxes (Vacation)]]+Payroll_Data_Analysis[[#This Row],[Payroll Taxes (Salary)]]</f>
        <v>1474407.8054607508</v>
      </c>
      <c r="W77" s="13">
        <f>Payroll_Data_Analysis[[#This Row],[Total Payroll]]+Payroll_Data_Analysis[[#This Row],[Total Payroll Taxes]]</f>
        <v>6880052.8566552904</v>
      </c>
    </row>
    <row r="78" spans="1:23">
      <c r="A78" s="11" t="s">
        <v>649</v>
      </c>
      <c r="B78" s="5" t="s">
        <v>81</v>
      </c>
      <c r="C78" s="5" t="s">
        <v>703</v>
      </c>
      <c r="D78" s="28" t="str">
        <f>VLOOKUP(Payroll_Data_Analysis[[#This Row],[Position]],Position_Map!$A$2:$B$58,2,FALSE)</f>
        <v>Management</v>
      </c>
      <c r="E78" s="6">
        <v>1</v>
      </c>
      <c r="F78" s="7">
        <v>336000</v>
      </c>
      <c r="G78" s="7">
        <v>200000</v>
      </c>
      <c r="H78" s="7"/>
      <c r="I78" s="7">
        <f>dataset!$F78-dataset!$J78-dataset!$G78-dataset!$H78</f>
        <v>120000</v>
      </c>
      <c r="J78" s="7">
        <f>dataset!$G78*0.08</f>
        <v>16000</v>
      </c>
      <c r="K78" s="7">
        <f>dataset!$F78*12</f>
        <v>4032000</v>
      </c>
      <c r="L78" s="12">
        <f>IF(dataset!$G78&gt;=200000,38%,IF(dataset!$G78&lt;=145000,12.3%,))</f>
        <v>0.38</v>
      </c>
      <c r="M78" s="7">
        <f>dataset!$G78*L79*12</f>
        <v>295200.00000000006</v>
      </c>
      <c r="N78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78" s="7">
        <f>dataset!$K78+dataset!$M78</f>
        <v>4327200</v>
      </c>
      <c r="P78" s="7">
        <f>Payroll_Data_Analysis[[#This Row],[Annual Salary + KPI Bonus]]/12/29.3*31</f>
        <v>381522.18430034129</v>
      </c>
      <c r="Q78" s="7">
        <f>IF(Payroll_Data_Analysis[[#This Row],[Vacation Reserve]]&lt;=2979000,Payroll_Data_Analysis[[#This Row],[Vacation Reserve]]*0.302,2979000*0.302+(Payroll_Data_Analysis[[#This Row],[Vacation Reserve]]-2979000)*0.151)</f>
        <v>115219.69965870307</v>
      </c>
      <c r="R78" s="7">
        <f>Payroll_Data_Analysis[[#This Row],[Monthly Salary]]*11</f>
        <v>3696000</v>
      </c>
      <c r="S78" s="7">
        <f>IF(Payroll_Data_Analysis[[#This Row],[11-Month Salary]]&lt;=2979000,Payroll_Data_Analysis[[#This Row],[11-Month Salary]]*0.302,2979000*0.302+(Payroll_Data_Analysis[[#This Row],[11-Month Salary]]-2979000)*0.151)</f>
        <v>1007925</v>
      </c>
      <c r="T78" s="7">
        <f>IF(Payroll_Data_Analysis[[#This Row],[Base Salary (Monthly)]]&gt;=200000,69507,IF(Payroll_Data_Analysis[[#This Row],[Base Salary (Monthly)]]&gt;=145000,52684,35103))</f>
        <v>69507</v>
      </c>
      <c r="U78" s="7">
        <f>Payroll_Data_Analysis[[#This Row],[Annual KPI Bonus Reserve]]+Payroll_Data_Analysis[[#This Row],[Vacation Reserve]]+Payroll_Data_Analysis[[#This Row],[11-Month Salary]]</f>
        <v>4372722.1843003416</v>
      </c>
      <c r="V78" s="7">
        <f>Payroll_Data_Analysis[[#This Row],[Payroll Taxes (KPI Bonus)]]+Payroll_Data_Analysis[[#This Row],[Payroll Taxes (Vacation)]]+Payroll_Data_Analysis[[#This Row],[Payroll Taxes (Salary)]]</f>
        <v>1212295.099658703</v>
      </c>
      <c r="W78" s="13">
        <f>Payroll_Data_Analysis[[#This Row],[Total Payroll]]+Payroll_Data_Analysis[[#This Row],[Total Payroll Taxes]]</f>
        <v>5585017.2839590441</v>
      </c>
    </row>
    <row r="79" spans="1:23">
      <c r="A79" s="11" t="s">
        <v>649</v>
      </c>
      <c r="B79" s="5" t="s">
        <v>82</v>
      </c>
      <c r="C79" s="5" t="s">
        <v>704</v>
      </c>
      <c r="D79" s="28" t="str">
        <f>VLOOKUP(Payroll_Data_Analysis[[#This Row],[Position]],Position_Map!$A$2:$B$58,2,FALSE)</f>
        <v>Management</v>
      </c>
      <c r="E79" s="6">
        <v>1</v>
      </c>
      <c r="F79" s="7">
        <v>288000</v>
      </c>
      <c r="G79" s="7">
        <v>145000</v>
      </c>
      <c r="H79" s="7"/>
      <c r="I79" s="7">
        <f>dataset!$F79-dataset!$J79-dataset!$G79-dataset!$H79</f>
        <v>131400</v>
      </c>
      <c r="J79" s="7">
        <f>dataset!$G79*0.08</f>
        <v>11600</v>
      </c>
      <c r="K79" s="7">
        <f>dataset!$F79*12</f>
        <v>3456000</v>
      </c>
      <c r="L79" s="12">
        <f>IF(dataset!$G79&gt;=200000,38%,IF(dataset!$G79&lt;=145000,12.3%,))</f>
        <v>0.12300000000000001</v>
      </c>
      <c r="M79" s="7">
        <f>dataset!$G79*L80*12</f>
        <v>214020</v>
      </c>
      <c r="N7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79" s="7">
        <f>dataset!$K79+dataset!$M79</f>
        <v>3670020</v>
      </c>
      <c r="P79" s="7">
        <f>Payroll_Data_Analysis[[#This Row],[Annual Salary + KPI Bonus]]/12/29.3*31</f>
        <v>323579.69283276447</v>
      </c>
      <c r="Q79" s="7">
        <f>IF(Payroll_Data_Analysis[[#This Row],[Vacation Reserve]]&lt;=2979000,Payroll_Data_Analysis[[#This Row],[Vacation Reserve]]*0.302,2979000*0.302+(Payroll_Data_Analysis[[#This Row],[Vacation Reserve]]-2979000)*0.151)</f>
        <v>97721.067235494862</v>
      </c>
      <c r="R79" s="7">
        <f>Payroll_Data_Analysis[[#This Row],[Monthly Salary]]*11</f>
        <v>3168000</v>
      </c>
      <c r="S79" s="7">
        <f>IF(Payroll_Data_Analysis[[#This Row],[11-Month Salary]]&lt;=2979000,Payroll_Data_Analysis[[#This Row],[11-Month Salary]]*0.302,2979000*0.302+(Payroll_Data_Analysis[[#This Row],[11-Month Salary]]-2979000)*0.151)</f>
        <v>928197</v>
      </c>
      <c r="T79" s="7">
        <f>IF(Payroll_Data_Analysis[[#This Row],[Base Salary (Monthly)]]&gt;=200000,69507,IF(Payroll_Data_Analysis[[#This Row],[Base Salary (Monthly)]]&gt;=145000,52684,35103))</f>
        <v>52684</v>
      </c>
      <c r="U79" s="7">
        <f>Payroll_Data_Analysis[[#This Row],[Annual KPI Bonus Reserve]]+Payroll_Data_Analysis[[#This Row],[Vacation Reserve]]+Payroll_Data_Analysis[[#This Row],[11-Month Salary]]</f>
        <v>3705599.6928327642</v>
      </c>
      <c r="V79" s="7">
        <f>Payroll_Data_Analysis[[#This Row],[Payroll Taxes (KPI Bonus)]]+Payroll_Data_Analysis[[#This Row],[Payroll Taxes (Vacation)]]+Payroll_Data_Analysis[[#This Row],[Payroll Taxes (Salary)]]</f>
        <v>1090552.1072354948</v>
      </c>
      <c r="W79" s="13">
        <f>Payroll_Data_Analysis[[#This Row],[Total Payroll]]+Payroll_Data_Analysis[[#This Row],[Total Payroll Taxes]]</f>
        <v>4796151.8000682592</v>
      </c>
    </row>
    <row r="80" spans="1:23">
      <c r="A80" s="11" t="s">
        <v>650</v>
      </c>
      <c r="B80" s="5" t="s">
        <v>83</v>
      </c>
      <c r="C80" s="5" t="s">
        <v>709</v>
      </c>
      <c r="D80" s="28" t="str">
        <f>VLOOKUP(Payroll_Data_Analysis[[#This Row],[Position]],Position_Map!$A$2:$B$58,2,FALSE)</f>
        <v>Engineering</v>
      </c>
      <c r="E80" s="6">
        <v>1</v>
      </c>
      <c r="F80" s="7">
        <v>211600</v>
      </c>
      <c r="G80" s="7">
        <v>145000</v>
      </c>
      <c r="H80" s="7"/>
      <c r="I80" s="7">
        <f>dataset!$F80-dataset!$J80-dataset!$G80-dataset!$H80</f>
        <v>55000</v>
      </c>
      <c r="J80" s="7">
        <f>dataset!$G80*0.08</f>
        <v>11600</v>
      </c>
      <c r="K80" s="7">
        <f>dataset!$F80*12</f>
        <v>2539200</v>
      </c>
      <c r="L80" s="12">
        <f>IF(dataset!$G80&gt;=200000,38%,IF(dataset!$G80&lt;=145000,12.3%,))</f>
        <v>0.12300000000000001</v>
      </c>
      <c r="M80" s="7">
        <f>dataset!$G80*L81*12</f>
        <v>214020</v>
      </c>
      <c r="N8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0" s="7">
        <f>dataset!$K80+dataset!$M80</f>
        <v>2753220</v>
      </c>
      <c r="P80" s="7">
        <f>Payroll_Data_Analysis[[#This Row],[Annual Salary + KPI Bonus]]/12/29.3*31</f>
        <v>242746.92832764506</v>
      </c>
      <c r="Q80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80" s="7">
        <f>Payroll_Data_Analysis[[#This Row],[Monthly Salary]]*11</f>
        <v>2327600</v>
      </c>
      <c r="S80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80" s="7">
        <f>IF(Payroll_Data_Analysis[[#This Row],[Base Salary (Monthly)]]&gt;=200000,69507,IF(Payroll_Data_Analysis[[#This Row],[Base Salary (Monthly)]]&gt;=145000,52684,35103))</f>
        <v>52684</v>
      </c>
      <c r="U80" s="7">
        <f>Payroll_Data_Analysis[[#This Row],[Annual KPI Bonus Reserve]]+Payroll_Data_Analysis[[#This Row],[Vacation Reserve]]+Payroll_Data_Analysis[[#This Row],[11-Month Salary]]</f>
        <v>2784366.9283276452</v>
      </c>
      <c r="V80" s="7">
        <f>Payroll_Data_Analysis[[#This Row],[Payroll Taxes (KPI Bonus)]]+Payroll_Data_Analysis[[#This Row],[Payroll Taxes (Vacation)]]+Payroll_Data_Analysis[[#This Row],[Payroll Taxes (Salary)]]</f>
        <v>840878.81235494872</v>
      </c>
      <c r="W80" s="13">
        <f>Payroll_Data_Analysis[[#This Row],[Total Payroll]]+Payroll_Data_Analysis[[#This Row],[Total Payroll Taxes]]</f>
        <v>3625245.740682594</v>
      </c>
    </row>
    <row r="81" spans="1:23">
      <c r="A81" s="11" t="s">
        <v>650</v>
      </c>
      <c r="B81" s="5" t="s">
        <v>84</v>
      </c>
      <c r="C81" s="5" t="s">
        <v>709</v>
      </c>
      <c r="D81" s="28" t="str">
        <f>VLOOKUP(Payroll_Data_Analysis[[#This Row],[Position]],Position_Map!$A$2:$B$58,2,FALSE)</f>
        <v>Engineering</v>
      </c>
      <c r="E81" s="6">
        <v>1</v>
      </c>
      <c r="F81" s="7">
        <v>211600</v>
      </c>
      <c r="G81" s="7">
        <v>145000</v>
      </c>
      <c r="H81" s="7"/>
      <c r="I81" s="7">
        <f>dataset!$F81-dataset!$J81-dataset!$G81-dataset!$H81</f>
        <v>55000</v>
      </c>
      <c r="J81" s="7">
        <f>dataset!$G81*0.08</f>
        <v>11600</v>
      </c>
      <c r="K81" s="7">
        <f>dataset!$F81*12</f>
        <v>2539200</v>
      </c>
      <c r="L81" s="12">
        <f>IF(dataset!$G81&gt;=200000,38%,IF(dataset!$G81&lt;=145000,12.3%,))</f>
        <v>0.12300000000000001</v>
      </c>
      <c r="M81" s="7">
        <f>dataset!$G81*L82*12</f>
        <v>214020</v>
      </c>
      <c r="N8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1" s="7">
        <f>dataset!$K81+dataset!$M81</f>
        <v>2753220</v>
      </c>
      <c r="P81" s="7">
        <f>Payroll_Data_Analysis[[#This Row],[Annual Salary + KPI Bonus]]/12/29.3*31</f>
        <v>242746.92832764506</v>
      </c>
      <c r="Q81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81" s="7">
        <f>Payroll_Data_Analysis[[#This Row],[Monthly Salary]]*11</f>
        <v>2327600</v>
      </c>
      <c r="S81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81" s="7">
        <f>IF(Payroll_Data_Analysis[[#This Row],[Base Salary (Monthly)]]&gt;=200000,69507,IF(Payroll_Data_Analysis[[#This Row],[Base Salary (Monthly)]]&gt;=145000,52684,35103))</f>
        <v>52684</v>
      </c>
      <c r="U81" s="7">
        <f>Payroll_Data_Analysis[[#This Row],[Annual KPI Bonus Reserve]]+Payroll_Data_Analysis[[#This Row],[Vacation Reserve]]+Payroll_Data_Analysis[[#This Row],[11-Month Salary]]</f>
        <v>2784366.9283276452</v>
      </c>
      <c r="V81" s="7">
        <f>Payroll_Data_Analysis[[#This Row],[Payroll Taxes (KPI Bonus)]]+Payroll_Data_Analysis[[#This Row],[Payroll Taxes (Vacation)]]+Payroll_Data_Analysis[[#This Row],[Payroll Taxes (Salary)]]</f>
        <v>840878.81235494872</v>
      </c>
      <c r="W81" s="13">
        <f>Payroll_Data_Analysis[[#This Row],[Total Payroll]]+Payroll_Data_Analysis[[#This Row],[Total Payroll Taxes]]</f>
        <v>3625245.740682594</v>
      </c>
    </row>
    <row r="82" spans="1:23">
      <c r="A82" s="11" t="s">
        <v>650</v>
      </c>
      <c r="B82" s="5" t="s">
        <v>85</v>
      </c>
      <c r="C82" s="5" t="s">
        <v>709</v>
      </c>
      <c r="D82" s="28" t="str">
        <f>VLOOKUP(Payroll_Data_Analysis[[#This Row],[Position]],Position_Map!$A$2:$B$58,2,FALSE)</f>
        <v>Engineering</v>
      </c>
      <c r="E82" s="6">
        <v>1</v>
      </c>
      <c r="F82" s="7">
        <v>211600</v>
      </c>
      <c r="G82" s="7">
        <v>145000</v>
      </c>
      <c r="H82" s="7"/>
      <c r="I82" s="7">
        <f>dataset!$F82-dataset!$J82-dataset!$G82-dataset!$H82</f>
        <v>55000</v>
      </c>
      <c r="J82" s="7">
        <f>dataset!$G82*0.08</f>
        <v>11600</v>
      </c>
      <c r="K82" s="7">
        <f>dataset!$F82*12</f>
        <v>2539200</v>
      </c>
      <c r="L82" s="12">
        <f>IF(dataset!$G82&gt;=200000,38%,IF(dataset!$G82&lt;=145000,12.3%,))</f>
        <v>0.12300000000000001</v>
      </c>
      <c r="M82" s="7">
        <f>dataset!$G82*L83*12</f>
        <v>214020</v>
      </c>
      <c r="N8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2" s="7">
        <f>dataset!$K82+dataset!$M82</f>
        <v>2753220</v>
      </c>
      <c r="P82" s="7">
        <f>Payroll_Data_Analysis[[#This Row],[Annual Salary + KPI Bonus]]/12/29.3*31</f>
        <v>242746.92832764506</v>
      </c>
      <c r="Q82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82" s="7">
        <f>Payroll_Data_Analysis[[#This Row],[Monthly Salary]]*11</f>
        <v>2327600</v>
      </c>
      <c r="S82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82" s="7">
        <f>IF(Payroll_Data_Analysis[[#This Row],[Base Salary (Monthly)]]&gt;=200000,69507,IF(Payroll_Data_Analysis[[#This Row],[Base Salary (Monthly)]]&gt;=145000,52684,35103))</f>
        <v>52684</v>
      </c>
      <c r="U82" s="7">
        <f>Payroll_Data_Analysis[[#This Row],[Annual KPI Bonus Reserve]]+Payroll_Data_Analysis[[#This Row],[Vacation Reserve]]+Payroll_Data_Analysis[[#This Row],[11-Month Salary]]</f>
        <v>2784366.9283276452</v>
      </c>
      <c r="V82" s="7">
        <f>Payroll_Data_Analysis[[#This Row],[Payroll Taxes (KPI Bonus)]]+Payroll_Data_Analysis[[#This Row],[Payroll Taxes (Vacation)]]+Payroll_Data_Analysis[[#This Row],[Payroll Taxes (Salary)]]</f>
        <v>840878.81235494872</v>
      </c>
      <c r="W82" s="13">
        <f>Payroll_Data_Analysis[[#This Row],[Total Payroll]]+Payroll_Data_Analysis[[#This Row],[Total Payroll Taxes]]</f>
        <v>3625245.740682594</v>
      </c>
    </row>
    <row r="83" spans="1:23">
      <c r="A83" s="11" t="s">
        <v>650</v>
      </c>
      <c r="B83" s="5" t="s">
        <v>86</v>
      </c>
      <c r="C83" s="5" t="s">
        <v>709</v>
      </c>
      <c r="D83" s="28" t="str">
        <f>VLOOKUP(Payroll_Data_Analysis[[#This Row],[Position]],Position_Map!$A$2:$B$58,2,FALSE)</f>
        <v>Engineering</v>
      </c>
      <c r="E83" s="6">
        <v>1</v>
      </c>
      <c r="F83" s="7">
        <v>211600</v>
      </c>
      <c r="G83" s="7">
        <v>145000</v>
      </c>
      <c r="H83" s="7"/>
      <c r="I83" s="7">
        <f>dataset!$F83-dataset!$J83-dataset!$G83-dataset!$H83</f>
        <v>55000</v>
      </c>
      <c r="J83" s="7">
        <f>dataset!$G83*0.08</f>
        <v>11600</v>
      </c>
      <c r="K83" s="7">
        <f>dataset!$F83*12</f>
        <v>2539200</v>
      </c>
      <c r="L83" s="12">
        <f>IF(dataset!$G83&gt;=200000,38%,IF(dataset!$G83&lt;=145000,12.3%,))</f>
        <v>0.12300000000000001</v>
      </c>
      <c r="M83" s="7">
        <f>dataset!$G83*L84*12</f>
        <v>214020</v>
      </c>
      <c r="N8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3" s="7">
        <f>dataset!$K83+dataset!$M83</f>
        <v>2753220</v>
      </c>
      <c r="P83" s="7">
        <f>Payroll_Data_Analysis[[#This Row],[Annual Salary + KPI Bonus]]/12/29.3*31</f>
        <v>242746.92832764506</v>
      </c>
      <c r="Q83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83" s="7">
        <f>Payroll_Data_Analysis[[#This Row],[Monthly Salary]]*11</f>
        <v>2327600</v>
      </c>
      <c r="S83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83" s="7">
        <f>IF(Payroll_Data_Analysis[[#This Row],[Base Salary (Monthly)]]&gt;=200000,69507,IF(Payroll_Data_Analysis[[#This Row],[Base Salary (Monthly)]]&gt;=145000,52684,35103))</f>
        <v>52684</v>
      </c>
      <c r="U83" s="7">
        <f>Payroll_Data_Analysis[[#This Row],[Annual KPI Bonus Reserve]]+Payroll_Data_Analysis[[#This Row],[Vacation Reserve]]+Payroll_Data_Analysis[[#This Row],[11-Month Salary]]</f>
        <v>2784366.9283276452</v>
      </c>
      <c r="V83" s="7">
        <f>Payroll_Data_Analysis[[#This Row],[Payroll Taxes (KPI Bonus)]]+Payroll_Data_Analysis[[#This Row],[Payroll Taxes (Vacation)]]+Payroll_Data_Analysis[[#This Row],[Payroll Taxes (Salary)]]</f>
        <v>840878.81235494872</v>
      </c>
      <c r="W83" s="13">
        <f>Payroll_Data_Analysis[[#This Row],[Total Payroll]]+Payroll_Data_Analysis[[#This Row],[Total Payroll Taxes]]</f>
        <v>3625245.740682594</v>
      </c>
    </row>
    <row r="84" spans="1:23">
      <c r="A84" s="11" t="s">
        <v>650</v>
      </c>
      <c r="B84" s="5" t="s">
        <v>87</v>
      </c>
      <c r="C84" s="5" t="s">
        <v>709</v>
      </c>
      <c r="D84" s="28" t="str">
        <f>VLOOKUP(Payroll_Data_Analysis[[#This Row],[Position]],Position_Map!$A$2:$B$58,2,FALSE)</f>
        <v>Engineering</v>
      </c>
      <c r="E84" s="6">
        <v>1</v>
      </c>
      <c r="F84" s="7">
        <v>211600</v>
      </c>
      <c r="G84" s="7">
        <v>145000</v>
      </c>
      <c r="H84" s="7"/>
      <c r="I84" s="7">
        <f>dataset!$F84-dataset!$J84-dataset!$G84-dataset!$H84</f>
        <v>55000</v>
      </c>
      <c r="J84" s="7">
        <f>dataset!$G84*0.08</f>
        <v>11600</v>
      </c>
      <c r="K84" s="7">
        <f>dataset!$F84*12</f>
        <v>2539200</v>
      </c>
      <c r="L84" s="12">
        <f>IF(dataset!$G84&gt;=200000,38%,IF(dataset!$G84&lt;=145000,12.3%,))</f>
        <v>0.12300000000000001</v>
      </c>
      <c r="M84" s="7">
        <f>dataset!$G84*L85*12</f>
        <v>214020</v>
      </c>
      <c r="N84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84" s="7">
        <f>dataset!$K84+dataset!$M84</f>
        <v>2753220</v>
      </c>
      <c r="P84" s="7">
        <f>Payroll_Data_Analysis[[#This Row],[Annual Salary + KPI Bonus]]/12/29.3*31</f>
        <v>242746.92832764506</v>
      </c>
      <c r="Q84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84" s="7">
        <f>Payroll_Data_Analysis[[#This Row],[Monthly Salary]]*11</f>
        <v>2327600</v>
      </c>
      <c r="S84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84" s="7">
        <f>IF(Payroll_Data_Analysis[[#This Row],[Base Salary (Monthly)]]&gt;=200000,69507,IF(Payroll_Data_Analysis[[#This Row],[Base Salary (Monthly)]]&gt;=145000,52684,35103))</f>
        <v>52684</v>
      </c>
      <c r="U84" s="7">
        <f>Payroll_Data_Analysis[[#This Row],[Annual KPI Bonus Reserve]]+Payroll_Data_Analysis[[#This Row],[Vacation Reserve]]+Payroll_Data_Analysis[[#This Row],[11-Month Salary]]</f>
        <v>2784366.9283276452</v>
      </c>
      <c r="V84" s="7">
        <f>Payroll_Data_Analysis[[#This Row],[Payroll Taxes (KPI Bonus)]]+Payroll_Data_Analysis[[#This Row],[Payroll Taxes (Vacation)]]+Payroll_Data_Analysis[[#This Row],[Payroll Taxes (Salary)]]</f>
        <v>840878.81235494872</v>
      </c>
      <c r="W84" s="13">
        <f>Payroll_Data_Analysis[[#This Row],[Total Payroll]]+Payroll_Data_Analysis[[#This Row],[Total Payroll Taxes]]</f>
        <v>3625245.740682594</v>
      </c>
    </row>
    <row r="85" spans="1:23" ht="14.4" customHeight="1">
      <c r="A85" s="11" t="s">
        <v>650</v>
      </c>
      <c r="B85" s="5" t="s">
        <v>88</v>
      </c>
      <c r="C85" s="5" t="s">
        <v>709</v>
      </c>
      <c r="D85" s="28" t="str">
        <f>VLOOKUP(Payroll_Data_Analysis[[#This Row],[Position]],Position_Map!$A$2:$B$58,2,FALSE)</f>
        <v>Engineering</v>
      </c>
      <c r="E85" s="6">
        <v>1</v>
      </c>
      <c r="F85" s="7">
        <v>158000</v>
      </c>
      <c r="G85" s="7">
        <v>100000</v>
      </c>
      <c r="H85" s="7"/>
      <c r="I85" s="7">
        <f>dataset!$F85-dataset!$J85-dataset!$G85-dataset!$H85</f>
        <v>50000</v>
      </c>
      <c r="J85" s="7">
        <f>dataset!$G85*0.08</f>
        <v>8000</v>
      </c>
      <c r="K85" s="7">
        <f>dataset!$F85*12</f>
        <v>1896000</v>
      </c>
      <c r="L85" s="12">
        <f>IF(dataset!$G85&gt;=200000,38%,IF(dataset!$G85&lt;=145000,12.3%,))</f>
        <v>0.12300000000000001</v>
      </c>
      <c r="M85" s="7">
        <f>dataset!$G85*L86*12</f>
        <v>147600.00000000003</v>
      </c>
      <c r="N8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85" s="7">
        <f>dataset!$K85+dataset!$M85</f>
        <v>2043600</v>
      </c>
      <c r="P85" s="7">
        <f>Payroll_Data_Analysis[[#This Row],[Annual Salary + KPI Bonus]]/12/29.3*31</f>
        <v>180180.88737201365</v>
      </c>
      <c r="Q85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85" s="7">
        <f>Payroll_Data_Analysis[[#This Row],[Monthly Salary]]*11</f>
        <v>1738000</v>
      </c>
      <c r="S85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85" s="7">
        <f>IF(Payroll_Data_Analysis[[#This Row],[Base Salary (Monthly)]]&gt;=200000,69507,IF(Payroll_Data_Analysis[[#This Row],[Base Salary (Monthly)]]&gt;=145000,52684,35103))</f>
        <v>35103</v>
      </c>
      <c r="U85" s="7">
        <f>Payroll_Data_Analysis[[#This Row],[Annual KPI Bonus Reserve]]+Payroll_Data_Analysis[[#This Row],[Vacation Reserve]]+Payroll_Data_Analysis[[#This Row],[11-Month Salary]]</f>
        <v>2065780.8873720136</v>
      </c>
      <c r="V85" s="7">
        <f>Payroll_Data_Analysis[[#This Row],[Payroll Taxes (KPI Bonus)]]+Payroll_Data_Analysis[[#This Row],[Payroll Taxes (Vacation)]]+Payroll_Data_Analysis[[#This Row],[Payroll Taxes (Salary)]]</f>
        <v>623865.82798634819</v>
      </c>
      <c r="W85" s="13">
        <f>Payroll_Data_Analysis[[#This Row],[Total Payroll]]+Payroll_Data_Analysis[[#This Row],[Total Payroll Taxes]]</f>
        <v>2689646.7153583616</v>
      </c>
    </row>
    <row r="86" spans="1:23">
      <c r="A86" s="11" t="s">
        <v>650</v>
      </c>
      <c r="B86" s="5" t="s">
        <v>89</v>
      </c>
      <c r="C86" s="5" t="s">
        <v>709</v>
      </c>
      <c r="D86" s="28" t="str">
        <f>VLOOKUP(Payroll_Data_Analysis[[#This Row],[Position]],Position_Map!$A$2:$B$58,2,FALSE)</f>
        <v>Engineering</v>
      </c>
      <c r="E86" s="6">
        <v>1</v>
      </c>
      <c r="F86" s="7">
        <v>158000</v>
      </c>
      <c r="G86" s="7">
        <v>100000</v>
      </c>
      <c r="H86" s="7"/>
      <c r="I86" s="7">
        <f>dataset!$F86-dataset!$J86-dataset!$G86-dataset!$H86</f>
        <v>50000</v>
      </c>
      <c r="J86" s="7">
        <f>dataset!$G86*0.08</f>
        <v>8000</v>
      </c>
      <c r="K86" s="7">
        <f>dataset!$F86*12</f>
        <v>1896000</v>
      </c>
      <c r="L86" s="12">
        <f>IF(dataset!$G86&gt;=200000,38%,IF(dataset!$G86&lt;=145000,12.3%,))</f>
        <v>0.12300000000000001</v>
      </c>
      <c r="M86" s="7">
        <f>dataset!$G86*L87*12</f>
        <v>147600.00000000003</v>
      </c>
      <c r="N8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86" s="7">
        <f>dataset!$K86+dataset!$M86</f>
        <v>2043600</v>
      </c>
      <c r="P86" s="7">
        <f>Payroll_Data_Analysis[[#This Row],[Annual Salary + KPI Bonus]]/12/29.3*31</f>
        <v>180180.88737201365</v>
      </c>
      <c r="Q86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86" s="7">
        <f>Payroll_Data_Analysis[[#This Row],[Monthly Salary]]*11</f>
        <v>1738000</v>
      </c>
      <c r="S86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86" s="7">
        <f>IF(Payroll_Data_Analysis[[#This Row],[Base Salary (Monthly)]]&gt;=200000,69507,IF(Payroll_Data_Analysis[[#This Row],[Base Salary (Monthly)]]&gt;=145000,52684,35103))</f>
        <v>35103</v>
      </c>
      <c r="U86" s="7">
        <f>Payroll_Data_Analysis[[#This Row],[Annual KPI Bonus Reserve]]+Payroll_Data_Analysis[[#This Row],[Vacation Reserve]]+Payroll_Data_Analysis[[#This Row],[11-Month Salary]]</f>
        <v>2065780.8873720136</v>
      </c>
      <c r="V86" s="7">
        <f>Payroll_Data_Analysis[[#This Row],[Payroll Taxes (KPI Bonus)]]+Payroll_Data_Analysis[[#This Row],[Payroll Taxes (Vacation)]]+Payroll_Data_Analysis[[#This Row],[Payroll Taxes (Salary)]]</f>
        <v>623865.82798634819</v>
      </c>
      <c r="W86" s="13">
        <f>Payroll_Data_Analysis[[#This Row],[Total Payroll]]+Payroll_Data_Analysis[[#This Row],[Total Payroll Taxes]]</f>
        <v>2689646.7153583616</v>
      </c>
    </row>
    <row r="87" spans="1:23">
      <c r="A87" s="11" t="s">
        <v>650</v>
      </c>
      <c r="B87" s="5" t="s">
        <v>90</v>
      </c>
      <c r="C87" s="5" t="s">
        <v>709</v>
      </c>
      <c r="D87" s="28" t="str">
        <f>VLOOKUP(Payroll_Data_Analysis[[#This Row],[Position]],Position_Map!$A$2:$B$58,2,FALSE)</f>
        <v>Engineering</v>
      </c>
      <c r="E87" s="6">
        <v>1</v>
      </c>
      <c r="F87" s="7">
        <v>158000</v>
      </c>
      <c r="G87" s="7">
        <v>100000</v>
      </c>
      <c r="H87" s="7"/>
      <c r="I87" s="7">
        <f>dataset!$F87-dataset!$J87-dataset!$G87-dataset!$H87</f>
        <v>50000</v>
      </c>
      <c r="J87" s="7">
        <f>dataset!$G87*0.08</f>
        <v>8000</v>
      </c>
      <c r="K87" s="7">
        <f>dataset!$F87*12</f>
        <v>1896000</v>
      </c>
      <c r="L87" s="12">
        <f>IF(dataset!$G87&gt;=200000,38%,IF(dataset!$G87&lt;=145000,12.3%,))</f>
        <v>0.12300000000000001</v>
      </c>
      <c r="M87" s="7">
        <f>dataset!$G87*L88*12</f>
        <v>147600.00000000003</v>
      </c>
      <c r="N8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87" s="7">
        <f>dataset!$K87+dataset!$M87</f>
        <v>2043600</v>
      </c>
      <c r="P87" s="7">
        <f>Payroll_Data_Analysis[[#This Row],[Annual Salary + KPI Bonus]]/12/29.3*31</f>
        <v>180180.88737201365</v>
      </c>
      <c r="Q87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87" s="7">
        <f>Payroll_Data_Analysis[[#This Row],[Monthly Salary]]*11</f>
        <v>1738000</v>
      </c>
      <c r="S87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87" s="7">
        <f>IF(Payroll_Data_Analysis[[#This Row],[Base Salary (Monthly)]]&gt;=200000,69507,IF(Payroll_Data_Analysis[[#This Row],[Base Salary (Monthly)]]&gt;=145000,52684,35103))</f>
        <v>35103</v>
      </c>
      <c r="U87" s="7">
        <f>Payroll_Data_Analysis[[#This Row],[Annual KPI Bonus Reserve]]+Payroll_Data_Analysis[[#This Row],[Vacation Reserve]]+Payroll_Data_Analysis[[#This Row],[11-Month Salary]]</f>
        <v>2065780.8873720136</v>
      </c>
      <c r="V87" s="7">
        <f>Payroll_Data_Analysis[[#This Row],[Payroll Taxes (KPI Bonus)]]+Payroll_Data_Analysis[[#This Row],[Payroll Taxes (Vacation)]]+Payroll_Data_Analysis[[#This Row],[Payroll Taxes (Salary)]]</f>
        <v>623865.82798634819</v>
      </c>
      <c r="W87" s="13">
        <f>Payroll_Data_Analysis[[#This Row],[Total Payroll]]+Payroll_Data_Analysis[[#This Row],[Total Payroll Taxes]]</f>
        <v>2689646.7153583616</v>
      </c>
    </row>
    <row r="88" spans="1:23">
      <c r="A88" s="11" t="s">
        <v>650</v>
      </c>
      <c r="B88" s="5" t="s">
        <v>91</v>
      </c>
      <c r="C88" s="5" t="s">
        <v>709</v>
      </c>
      <c r="D88" s="28" t="str">
        <f>VLOOKUP(Payroll_Data_Analysis[[#This Row],[Position]],Position_Map!$A$2:$B$58,2,FALSE)</f>
        <v>Engineering</v>
      </c>
      <c r="E88" s="6">
        <v>1</v>
      </c>
      <c r="F88" s="7">
        <v>158000</v>
      </c>
      <c r="G88" s="7">
        <v>100000</v>
      </c>
      <c r="H88" s="7"/>
      <c r="I88" s="7">
        <f>dataset!$F88-dataset!$J88-dataset!$G88-dataset!$H88</f>
        <v>50000</v>
      </c>
      <c r="J88" s="7">
        <f>dataset!$G88*0.08</f>
        <v>8000</v>
      </c>
      <c r="K88" s="7">
        <f>dataset!$F88*12</f>
        <v>1896000</v>
      </c>
      <c r="L88" s="12">
        <f>IF(dataset!$G88&gt;=200000,38%,IF(dataset!$G88&lt;=145000,12.3%,))</f>
        <v>0.12300000000000001</v>
      </c>
      <c r="M88" s="7">
        <f>dataset!$G88*L89*12</f>
        <v>147600.00000000003</v>
      </c>
      <c r="N8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88" s="7">
        <f>dataset!$K88+dataset!$M88</f>
        <v>2043600</v>
      </c>
      <c r="P88" s="7">
        <f>Payroll_Data_Analysis[[#This Row],[Annual Salary + KPI Bonus]]/12/29.3*31</f>
        <v>180180.88737201365</v>
      </c>
      <c r="Q88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88" s="7">
        <f>Payroll_Data_Analysis[[#This Row],[Monthly Salary]]*11</f>
        <v>1738000</v>
      </c>
      <c r="S88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88" s="7">
        <f>IF(Payroll_Data_Analysis[[#This Row],[Base Salary (Monthly)]]&gt;=200000,69507,IF(Payroll_Data_Analysis[[#This Row],[Base Salary (Monthly)]]&gt;=145000,52684,35103))</f>
        <v>35103</v>
      </c>
      <c r="U88" s="7">
        <f>Payroll_Data_Analysis[[#This Row],[Annual KPI Bonus Reserve]]+Payroll_Data_Analysis[[#This Row],[Vacation Reserve]]+Payroll_Data_Analysis[[#This Row],[11-Month Salary]]</f>
        <v>2065780.8873720136</v>
      </c>
      <c r="V88" s="7">
        <f>Payroll_Data_Analysis[[#This Row],[Payroll Taxes (KPI Bonus)]]+Payroll_Data_Analysis[[#This Row],[Payroll Taxes (Vacation)]]+Payroll_Data_Analysis[[#This Row],[Payroll Taxes (Salary)]]</f>
        <v>623865.82798634819</v>
      </c>
      <c r="W88" s="13">
        <f>Payroll_Data_Analysis[[#This Row],[Total Payroll]]+Payroll_Data_Analysis[[#This Row],[Total Payroll Taxes]]</f>
        <v>2689646.7153583616</v>
      </c>
    </row>
    <row r="89" spans="1:23">
      <c r="A89" s="11" t="s">
        <v>650</v>
      </c>
      <c r="B89" s="5" t="s">
        <v>92</v>
      </c>
      <c r="C89" s="5" t="s">
        <v>709</v>
      </c>
      <c r="D89" s="28" t="str">
        <f>VLOOKUP(Payroll_Data_Analysis[[#This Row],[Position]],Position_Map!$A$2:$B$58,2,FALSE)</f>
        <v>Engineering</v>
      </c>
      <c r="E89" s="6">
        <v>1</v>
      </c>
      <c r="F89" s="7">
        <v>158000</v>
      </c>
      <c r="G89" s="7">
        <v>100000</v>
      </c>
      <c r="H89" s="7"/>
      <c r="I89" s="7">
        <f>dataset!$F89-dataset!$J89-dataset!$G89-dataset!$H89</f>
        <v>50000</v>
      </c>
      <c r="J89" s="7">
        <f>dataset!$G89*0.08</f>
        <v>8000</v>
      </c>
      <c r="K89" s="7">
        <f>dataset!$F89*12</f>
        <v>1896000</v>
      </c>
      <c r="L89" s="12">
        <f>IF(dataset!$G89&gt;=200000,38%,IF(dataset!$G89&lt;=145000,12.3%,))</f>
        <v>0.12300000000000001</v>
      </c>
      <c r="M89" s="7">
        <f>dataset!$G89*L90*12</f>
        <v>147600.00000000003</v>
      </c>
      <c r="N8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89" s="7">
        <f>dataset!$K89+dataset!$M89</f>
        <v>2043600</v>
      </c>
      <c r="P89" s="7">
        <f>Payroll_Data_Analysis[[#This Row],[Annual Salary + KPI Bonus]]/12/29.3*31</f>
        <v>180180.88737201365</v>
      </c>
      <c r="Q89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89" s="7">
        <f>Payroll_Data_Analysis[[#This Row],[Monthly Salary]]*11</f>
        <v>1738000</v>
      </c>
      <c r="S89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89" s="7">
        <f>IF(Payroll_Data_Analysis[[#This Row],[Base Salary (Monthly)]]&gt;=200000,69507,IF(Payroll_Data_Analysis[[#This Row],[Base Salary (Monthly)]]&gt;=145000,52684,35103))</f>
        <v>35103</v>
      </c>
      <c r="U89" s="7">
        <f>Payroll_Data_Analysis[[#This Row],[Annual KPI Bonus Reserve]]+Payroll_Data_Analysis[[#This Row],[Vacation Reserve]]+Payroll_Data_Analysis[[#This Row],[11-Month Salary]]</f>
        <v>2065780.8873720136</v>
      </c>
      <c r="V89" s="7">
        <f>Payroll_Data_Analysis[[#This Row],[Payroll Taxes (KPI Bonus)]]+Payroll_Data_Analysis[[#This Row],[Payroll Taxes (Vacation)]]+Payroll_Data_Analysis[[#This Row],[Payroll Taxes (Salary)]]</f>
        <v>623865.82798634819</v>
      </c>
      <c r="W89" s="13">
        <f>Payroll_Data_Analysis[[#This Row],[Total Payroll]]+Payroll_Data_Analysis[[#This Row],[Total Payroll Taxes]]</f>
        <v>2689646.7153583616</v>
      </c>
    </row>
    <row r="90" spans="1:23">
      <c r="A90" s="11" t="s">
        <v>650</v>
      </c>
      <c r="B90" s="5" t="s">
        <v>93</v>
      </c>
      <c r="C90" s="5" t="s">
        <v>709</v>
      </c>
      <c r="D90" s="28" t="str">
        <f>VLOOKUP(Payroll_Data_Analysis[[#This Row],[Position]],Position_Map!$A$2:$B$58,2,FALSE)</f>
        <v>Engineering</v>
      </c>
      <c r="E90" s="6">
        <v>1</v>
      </c>
      <c r="F90" s="7">
        <v>158000</v>
      </c>
      <c r="G90" s="7">
        <v>100000</v>
      </c>
      <c r="H90" s="7"/>
      <c r="I90" s="7">
        <f>dataset!$F90-dataset!$J90-dataset!$G90-dataset!$H90</f>
        <v>50000</v>
      </c>
      <c r="J90" s="7">
        <f>dataset!$G90*0.08</f>
        <v>8000</v>
      </c>
      <c r="K90" s="7">
        <f>dataset!$F90*12</f>
        <v>1896000</v>
      </c>
      <c r="L90" s="12">
        <f>IF(dataset!$G90&gt;=200000,38%,IF(dataset!$G90&lt;=145000,12.3%,))</f>
        <v>0.12300000000000001</v>
      </c>
      <c r="M90" s="7">
        <f>dataset!$G90*L91*12</f>
        <v>147600.00000000003</v>
      </c>
      <c r="N9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0" s="7">
        <f>dataset!$K90+dataset!$M90</f>
        <v>2043600</v>
      </c>
      <c r="P90" s="7">
        <f>Payroll_Data_Analysis[[#This Row],[Annual Salary + KPI Bonus]]/12/29.3*31</f>
        <v>180180.88737201365</v>
      </c>
      <c r="Q90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90" s="7">
        <f>Payroll_Data_Analysis[[#This Row],[Monthly Salary]]*11</f>
        <v>1738000</v>
      </c>
      <c r="S90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0" s="7">
        <f>IF(Payroll_Data_Analysis[[#This Row],[Base Salary (Monthly)]]&gt;=200000,69507,IF(Payroll_Data_Analysis[[#This Row],[Base Salary (Monthly)]]&gt;=145000,52684,35103))</f>
        <v>35103</v>
      </c>
      <c r="U90" s="7">
        <f>Payroll_Data_Analysis[[#This Row],[Annual KPI Bonus Reserve]]+Payroll_Data_Analysis[[#This Row],[Vacation Reserve]]+Payroll_Data_Analysis[[#This Row],[11-Month Salary]]</f>
        <v>2065780.8873720136</v>
      </c>
      <c r="V90" s="7">
        <f>Payroll_Data_Analysis[[#This Row],[Payroll Taxes (KPI Bonus)]]+Payroll_Data_Analysis[[#This Row],[Payroll Taxes (Vacation)]]+Payroll_Data_Analysis[[#This Row],[Payroll Taxes (Salary)]]</f>
        <v>623865.82798634819</v>
      </c>
      <c r="W90" s="13">
        <f>Payroll_Data_Analysis[[#This Row],[Total Payroll]]+Payroll_Data_Analysis[[#This Row],[Total Payroll Taxes]]</f>
        <v>2689646.7153583616</v>
      </c>
    </row>
    <row r="91" spans="1:23">
      <c r="A91" s="11" t="s">
        <v>650</v>
      </c>
      <c r="B91" s="5" t="s">
        <v>94</v>
      </c>
      <c r="C91" s="5" t="s">
        <v>709</v>
      </c>
      <c r="D91" s="28" t="str">
        <f>VLOOKUP(Payroll_Data_Analysis[[#This Row],[Position]],Position_Map!$A$2:$B$58,2,FALSE)</f>
        <v>Engineering</v>
      </c>
      <c r="E91" s="6">
        <v>1</v>
      </c>
      <c r="F91" s="7">
        <v>158000</v>
      </c>
      <c r="G91" s="7">
        <v>100000</v>
      </c>
      <c r="H91" s="7"/>
      <c r="I91" s="7">
        <f>dataset!$F91-dataset!$J91-dataset!$G91-dataset!$H91</f>
        <v>50000</v>
      </c>
      <c r="J91" s="7">
        <f>dataset!$G91*0.08</f>
        <v>8000</v>
      </c>
      <c r="K91" s="7">
        <f>dataset!$F91*12</f>
        <v>1896000</v>
      </c>
      <c r="L91" s="12">
        <f>IF(dataset!$G91&gt;=200000,38%,IF(dataset!$G91&lt;=145000,12.3%,))</f>
        <v>0.12300000000000001</v>
      </c>
      <c r="M91" s="7">
        <f>dataset!$G91*L92*12</f>
        <v>147600.00000000003</v>
      </c>
      <c r="N9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1" s="7">
        <f>dataset!$K91+dataset!$M91</f>
        <v>2043600</v>
      </c>
      <c r="P91" s="7">
        <f>Payroll_Data_Analysis[[#This Row],[Annual Salary + KPI Bonus]]/12/29.3*31</f>
        <v>180180.88737201365</v>
      </c>
      <c r="Q91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91" s="7">
        <f>Payroll_Data_Analysis[[#This Row],[Monthly Salary]]*11</f>
        <v>1738000</v>
      </c>
      <c r="S91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1" s="7">
        <f>IF(Payroll_Data_Analysis[[#This Row],[Base Salary (Monthly)]]&gt;=200000,69507,IF(Payroll_Data_Analysis[[#This Row],[Base Salary (Monthly)]]&gt;=145000,52684,35103))</f>
        <v>35103</v>
      </c>
      <c r="U91" s="7">
        <f>Payroll_Data_Analysis[[#This Row],[Annual KPI Bonus Reserve]]+Payroll_Data_Analysis[[#This Row],[Vacation Reserve]]+Payroll_Data_Analysis[[#This Row],[11-Month Salary]]</f>
        <v>2065780.8873720136</v>
      </c>
      <c r="V91" s="7">
        <f>Payroll_Data_Analysis[[#This Row],[Payroll Taxes (KPI Bonus)]]+Payroll_Data_Analysis[[#This Row],[Payroll Taxes (Vacation)]]+Payroll_Data_Analysis[[#This Row],[Payroll Taxes (Salary)]]</f>
        <v>623865.82798634819</v>
      </c>
      <c r="W91" s="13">
        <f>Payroll_Data_Analysis[[#This Row],[Total Payroll]]+Payroll_Data_Analysis[[#This Row],[Total Payroll Taxes]]</f>
        <v>2689646.7153583616</v>
      </c>
    </row>
    <row r="92" spans="1:23">
      <c r="A92" s="11" t="s">
        <v>650</v>
      </c>
      <c r="B92" s="5" t="s">
        <v>95</v>
      </c>
      <c r="C92" s="5" t="s">
        <v>709</v>
      </c>
      <c r="D92" s="28" t="str">
        <f>VLOOKUP(Payroll_Data_Analysis[[#This Row],[Position]],Position_Map!$A$2:$B$58,2,FALSE)</f>
        <v>Engineering</v>
      </c>
      <c r="E92" s="6">
        <v>1</v>
      </c>
      <c r="F92" s="7">
        <v>158000</v>
      </c>
      <c r="G92" s="7">
        <v>100000</v>
      </c>
      <c r="H92" s="7"/>
      <c r="I92" s="7">
        <f>dataset!$F92-dataset!$J92-dataset!$G92-dataset!$H92</f>
        <v>50000</v>
      </c>
      <c r="J92" s="7">
        <f>dataset!$G92*0.08</f>
        <v>8000</v>
      </c>
      <c r="K92" s="7">
        <f>dataset!$F92*12</f>
        <v>1896000</v>
      </c>
      <c r="L92" s="12">
        <f>IF(dataset!$G92&gt;=200000,38%,IF(dataset!$G92&lt;=145000,12.3%,))</f>
        <v>0.12300000000000001</v>
      </c>
      <c r="M92" s="7">
        <f>dataset!$G92*L93*12</f>
        <v>147600.00000000003</v>
      </c>
      <c r="N9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2" s="7">
        <f>dataset!$K92+dataset!$M92</f>
        <v>2043600</v>
      </c>
      <c r="P92" s="7">
        <f>Payroll_Data_Analysis[[#This Row],[Annual Salary + KPI Bonus]]/12/29.3*31</f>
        <v>180180.88737201365</v>
      </c>
      <c r="Q92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92" s="7">
        <f>Payroll_Data_Analysis[[#This Row],[Monthly Salary]]*11</f>
        <v>1738000</v>
      </c>
      <c r="S92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2" s="7">
        <f>IF(Payroll_Data_Analysis[[#This Row],[Base Salary (Monthly)]]&gt;=200000,69507,IF(Payroll_Data_Analysis[[#This Row],[Base Salary (Monthly)]]&gt;=145000,52684,35103))</f>
        <v>35103</v>
      </c>
      <c r="U92" s="7">
        <f>Payroll_Data_Analysis[[#This Row],[Annual KPI Bonus Reserve]]+Payroll_Data_Analysis[[#This Row],[Vacation Reserve]]+Payroll_Data_Analysis[[#This Row],[11-Month Salary]]</f>
        <v>2065780.8873720136</v>
      </c>
      <c r="V92" s="7">
        <f>Payroll_Data_Analysis[[#This Row],[Payroll Taxes (KPI Bonus)]]+Payroll_Data_Analysis[[#This Row],[Payroll Taxes (Vacation)]]+Payroll_Data_Analysis[[#This Row],[Payroll Taxes (Salary)]]</f>
        <v>623865.82798634819</v>
      </c>
      <c r="W92" s="13">
        <f>Payroll_Data_Analysis[[#This Row],[Total Payroll]]+Payroll_Data_Analysis[[#This Row],[Total Payroll Taxes]]</f>
        <v>2689646.7153583616</v>
      </c>
    </row>
    <row r="93" spans="1:23">
      <c r="A93" s="11" t="s">
        <v>650</v>
      </c>
      <c r="B93" s="5" t="s">
        <v>96</v>
      </c>
      <c r="C93" s="5" t="s">
        <v>709</v>
      </c>
      <c r="D93" s="28" t="str">
        <f>VLOOKUP(Payroll_Data_Analysis[[#This Row],[Position]],Position_Map!$A$2:$B$58,2,FALSE)</f>
        <v>Engineering</v>
      </c>
      <c r="E93" s="6">
        <v>1</v>
      </c>
      <c r="F93" s="7">
        <v>158000</v>
      </c>
      <c r="G93" s="7">
        <v>100000</v>
      </c>
      <c r="H93" s="7"/>
      <c r="I93" s="7">
        <f>dataset!$F93-dataset!$J93-dataset!$G93-dataset!$H93</f>
        <v>50000</v>
      </c>
      <c r="J93" s="7">
        <f>dataset!$G93*0.08</f>
        <v>8000</v>
      </c>
      <c r="K93" s="7">
        <f>dataset!$F93*12</f>
        <v>1896000</v>
      </c>
      <c r="L93" s="12">
        <f>IF(dataset!$G93&gt;=200000,38%,IF(dataset!$G93&lt;=145000,12.3%,))</f>
        <v>0.12300000000000001</v>
      </c>
      <c r="M93" s="7">
        <f>dataset!$G93*L94*12</f>
        <v>147600.00000000003</v>
      </c>
      <c r="N9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3" s="7">
        <f>dataset!$K93+dataset!$M93</f>
        <v>2043600</v>
      </c>
      <c r="P93" s="7">
        <f>Payroll_Data_Analysis[[#This Row],[Annual Salary + KPI Bonus]]/12/29.3*31</f>
        <v>180180.88737201365</v>
      </c>
      <c r="Q93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93" s="7">
        <f>Payroll_Data_Analysis[[#This Row],[Monthly Salary]]*11</f>
        <v>1738000</v>
      </c>
      <c r="S93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3" s="7">
        <f>IF(Payroll_Data_Analysis[[#This Row],[Base Salary (Monthly)]]&gt;=200000,69507,IF(Payroll_Data_Analysis[[#This Row],[Base Salary (Monthly)]]&gt;=145000,52684,35103))</f>
        <v>35103</v>
      </c>
      <c r="U93" s="7">
        <f>Payroll_Data_Analysis[[#This Row],[Annual KPI Bonus Reserve]]+Payroll_Data_Analysis[[#This Row],[Vacation Reserve]]+Payroll_Data_Analysis[[#This Row],[11-Month Salary]]</f>
        <v>2065780.8873720136</v>
      </c>
      <c r="V93" s="7">
        <f>Payroll_Data_Analysis[[#This Row],[Payroll Taxes (KPI Bonus)]]+Payroll_Data_Analysis[[#This Row],[Payroll Taxes (Vacation)]]+Payroll_Data_Analysis[[#This Row],[Payroll Taxes (Salary)]]</f>
        <v>623865.82798634819</v>
      </c>
      <c r="W93" s="13">
        <f>Payroll_Data_Analysis[[#This Row],[Total Payroll]]+Payroll_Data_Analysis[[#This Row],[Total Payroll Taxes]]</f>
        <v>2689646.7153583616</v>
      </c>
    </row>
    <row r="94" spans="1:23">
      <c r="A94" s="11" t="s">
        <v>650</v>
      </c>
      <c r="B94" s="5" t="s">
        <v>97</v>
      </c>
      <c r="C94" s="5" t="s">
        <v>709</v>
      </c>
      <c r="D94" s="28" t="str">
        <f>VLOOKUP(Payroll_Data_Analysis[[#This Row],[Position]],Position_Map!$A$2:$B$58,2,FALSE)</f>
        <v>Engineering</v>
      </c>
      <c r="E94" s="6">
        <v>1</v>
      </c>
      <c r="F94" s="7">
        <v>158000</v>
      </c>
      <c r="G94" s="7">
        <v>100000</v>
      </c>
      <c r="H94" s="7"/>
      <c r="I94" s="7">
        <f>dataset!$F94-dataset!$J94-dataset!$G94-dataset!$H94</f>
        <v>50000</v>
      </c>
      <c r="J94" s="7">
        <f>dataset!$G94*0.08</f>
        <v>8000</v>
      </c>
      <c r="K94" s="7">
        <f>dataset!$F94*12</f>
        <v>1896000</v>
      </c>
      <c r="L94" s="12">
        <f>IF(dataset!$G94&gt;=200000,38%,IF(dataset!$G94&lt;=145000,12.3%,))</f>
        <v>0.12300000000000001</v>
      </c>
      <c r="M94" s="7">
        <f>dataset!$G94*L95*12</f>
        <v>147600.00000000003</v>
      </c>
      <c r="N9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4" s="7">
        <f>dataset!$K94+dataset!$M94</f>
        <v>2043600</v>
      </c>
      <c r="P94" s="7">
        <f>Payroll_Data_Analysis[[#This Row],[Annual Salary + KPI Bonus]]/12/29.3*31</f>
        <v>180180.88737201365</v>
      </c>
      <c r="Q94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94" s="7">
        <f>Payroll_Data_Analysis[[#This Row],[Monthly Salary]]*11</f>
        <v>1738000</v>
      </c>
      <c r="S94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4" s="7">
        <f>IF(Payroll_Data_Analysis[[#This Row],[Base Salary (Monthly)]]&gt;=200000,69507,IF(Payroll_Data_Analysis[[#This Row],[Base Salary (Monthly)]]&gt;=145000,52684,35103))</f>
        <v>35103</v>
      </c>
      <c r="U94" s="7">
        <f>Payroll_Data_Analysis[[#This Row],[Annual KPI Bonus Reserve]]+Payroll_Data_Analysis[[#This Row],[Vacation Reserve]]+Payroll_Data_Analysis[[#This Row],[11-Month Salary]]</f>
        <v>2065780.8873720136</v>
      </c>
      <c r="V94" s="7">
        <f>Payroll_Data_Analysis[[#This Row],[Payroll Taxes (KPI Bonus)]]+Payroll_Data_Analysis[[#This Row],[Payroll Taxes (Vacation)]]+Payroll_Data_Analysis[[#This Row],[Payroll Taxes (Salary)]]</f>
        <v>623865.82798634819</v>
      </c>
      <c r="W94" s="13">
        <f>Payroll_Data_Analysis[[#This Row],[Total Payroll]]+Payroll_Data_Analysis[[#This Row],[Total Payroll Taxes]]</f>
        <v>2689646.7153583616</v>
      </c>
    </row>
    <row r="95" spans="1:23">
      <c r="A95" s="11" t="s">
        <v>650</v>
      </c>
      <c r="B95" s="5" t="s">
        <v>98</v>
      </c>
      <c r="C95" s="5" t="s">
        <v>709</v>
      </c>
      <c r="D95" s="28" t="str">
        <f>VLOOKUP(Payroll_Data_Analysis[[#This Row],[Position]],Position_Map!$A$2:$B$58,2,FALSE)</f>
        <v>Engineering</v>
      </c>
      <c r="E95" s="6">
        <v>1</v>
      </c>
      <c r="F95" s="7">
        <v>158000</v>
      </c>
      <c r="G95" s="7">
        <v>100000</v>
      </c>
      <c r="H95" s="7"/>
      <c r="I95" s="7">
        <f>dataset!$F95-dataset!$J95-dataset!$G95-dataset!$H95</f>
        <v>50000</v>
      </c>
      <c r="J95" s="7">
        <f>dataset!$G95*0.08</f>
        <v>8000</v>
      </c>
      <c r="K95" s="7">
        <f>dataset!$F95*12</f>
        <v>1896000</v>
      </c>
      <c r="L95" s="12">
        <f>IF(dataset!$G95&gt;=200000,38%,IF(dataset!$G95&lt;=145000,12.3%,))</f>
        <v>0.12300000000000001</v>
      </c>
      <c r="M95" s="7">
        <f>dataset!$G95*L96*12</f>
        <v>456000</v>
      </c>
      <c r="N95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95" s="7">
        <f>dataset!$K95+dataset!$M95</f>
        <v>2352000</v>
      </c>
      <c r="P95" s="7">
        <f>Payroll_Data_Analysis[[#This Row],[Annual Salary + KPI Bonus]]/12/29.3*31</f>
        <v>207372.01365187712</v>
      </c>
      <c r="Q95" s="7">
        <f>IF(Payroll_Data_Analysis[[#This Row],[Vacation Reserve]]&lt;=2979000,Payroll_Data_Analysis[[#This Row],[Vacation Reserve]]*0.302,2979000*0.302+(Payroll_Data_Analysis[[#This Row],[Vacation Reserve]]-2979000)*0.151)</f>
        <v>62626.34812286689</v>
      </c>
      <c r="R95" s="7">
        <f>Payroll_Data_Analysis[[#This Row],[Monthly Salary]]*11</f>
        <v>1738000</v>
      </c>
      <c r="S95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95" s="7">
        <f>IF(Payroll_Data_Analysis[[#This Row],[Base Salary (Monthly)]]&gt;=200000,69507,IF(Payroll_Data_Analysis[[#This Row],[Base Salary (Monthly)]]&gt;=145000,52684,35103))</f>
        <v>35103</v>
      </c>
      <c r="U95" s="7">
        <f>Payroll_Data_Analysis[[#This Row],[Annual KPI Bonus Reserve]]+Payroll_Data_Analysis[[#This Row],[Vacation Reserve]]+Payroll_Data_Analysis[[#This Row],[11-Month Salary]]</f>
        <v>2401372.0136518772</v>
      </c>
      <c r="V95" s="7">
        <f>Payroll_Data_Analysis[[#This Row],[Payroll Taxes (KPI Bonus)]]+Payroll_Data_Analysis[[#This Row],[Payroll Taxes (Vacation)]]+Payroll_Data_Analysis[[#This Row],[Payroll Taxes (Salary)]]</f>
        <v>725214.34812286682</v>
      </c>
      <c r="W95" s="13">
        <f>Payroll_Data_Analysis[[#This Row],[Total Payroll]]+Payroll_Data_Analysis[[#This Row],[Total Payroll Taxes]]</f>
        <v>3126586.361774744</v>
      </c>
    </row>
    <row r="96" spans="1:23">
      <c r="A96" s="11" t="s">
        <v>650</v>
      </c>
      <c r="B96" s="5" t="s">
        <v>99</v>
      </c>
      <c r="C96" s="5" t="s">
        <v>716</v>
      </c>
      <c r="D96" s="28" t="str">
        <f>VLOOKUP(Payroll_Data_Analysis[[#This Row],[Position]],Position_Map!$A$2:$B$58,2,FALSE)</f>
        <v>Executive</v>
      </c>
      <c r="E96" s="6">
        <v>1</v>
      </c>
      <c r="F96" s="7">
        <v>396000</v>
      </c>
      <c r="G96" s="7">
        <v>200000</v>
      </c>
      <c r="H96" s="7">
        <v>20000</v>
      </c>
      <c r="I96" s="7">
        <f>dataset!$F96-dataset!$J96-dataset!$G96-dataset!$H96</f>
        <v>160000</v>
      </c>
      <c r="J96" s="7">
        <f>dataset!$G96*0.08</f>
        <v>16000</v>
      </c>
      <c r="K96" s="7">
        <f>dataset!$F96*12</f>
        <v>4752000</v>
      </c>
      <c r="L96" s="12">
        <f>IF(dataset!$G96&gt;=200000,38%,IF(dataset!$G96&lt;=145000,12.3%,))</f>
        <v>0.38</v>
      </c>
      <c r="M96" s="7">
        <f>dataset!$G96*L97*12</f>
        <v>295200.00000000006</v>
      </c>
      <c r="N96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96" s="7">
        <f>dataset!$K96+dataset!$M96</f>
        <v>5047200</v>
      </c>
      <c r="P96" s="7">
        <f>Payroll_Data_Analysis[[#This Row],[Annual Salary + KPI Bonus]]/12/29.3*31</f>
        <v>445003.41296928324</v>
      </c>
      <c r="Q96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96" s="7">
        <f>Payroll_Data_Analysis[[#This Row],[Monthly Salary]]*11</f>
        <v>4356000</v>
      </c>
      <c r="S96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96" s="7">
        <f>IF(Payroll_Data_Analysis[[#This Row],[Base Salary (Monthly)]]&gt;=200000,69507,IF(Payroll_Data_Analysis[[#This Row],[Base Salary (Monthly)]]&gt;=145000,52684,35103))</f>
        <v>69507</v>
      </c>
      <c r="U96" s="7">
        <f>Payroll_Data_Analysis[[#This Row],[Annual KPI Bonus Reserve]]+Payroll_Data_Analysis[[#This Row],[Vacation Reserve]]+Payroll_Data_Analysis[[#This Row],[11-Month Salary]]</f>
        <v>5096203.4129692838</v>
      </c>
      <c r="V96" s="7">
        <f>Payroll_Data_Analysis[[#This Row],[Payroll Taxes (KPI Bonus)]]+Payroll_Data_Analysis[[#This Row],[Payroll Taxes (Vacation)]]+Payroll_Data_Analysis[[#This Row],[Payroll Taxes (Salary)]]</f>
        <v>1331126.4307167237</v>
      </c>
      <c r="W96" s="13">
        <f>Payroll_Data_Analysis[[#This Row],[Total Payroll]]+Payroll_Data_Analysis[[#This Row],[Total Payroll Taxes]]</f>
        <v>6427329.843686007</v>
      </c>
    </row>
    <row r="97" spans="1:23">
      <c r="A97" s="11" t="s">
        <v>651</v>
      </c>
      <c r="B97" s="5" t="s">
        <v>100</v>
      </c>
      <c r="C97" s="5" t="s">
        <v>704</v>
      </c>
      <c r="D97" s="28" t="str">
        <f>VLOOKUP(Payroll_Data_Analysis[[#This Row],[Position]],Position_Map!$A$2:$B$58,2,FALSE)</f>
        <v>Management</v>
      </c>
      <c r="E97" s="6">
        <v>1</v>
      </c>
      <c r="F97" s="7">
        <v>211600</v>
      </c>
      <c r="G97" s="7">
        <v>145000</v>
      </c>
      <c r="H97" s="7"/>
      <c r="I97" s="7">
        <f>dataset!$F97-dataset!$J97-dataset!$G97-dataset!$H97</f>
        <v>55000</v>
      </c>
      <c r="J97" s="7">
        <f>dataset!$G97*0.08</f>
        <v>11600</v>
      </c>
      <c r="K97" s="7">
        <f>dataset!$F97*12</f>
        <v>2539200</v>
      </c>
      <c r="L97" s="12">
        <f>IF(dataset!$G97&gt;=200000,38%,IF(dataset!$G97&lt;=145000,12.3%,))</f>
        <v>0.12300000000000001</v>
      </c>
      <c r="M97" s="7">
        <f>dataset!$G97*L98*12</f>
        <v>214020</v>
      </c>
      <c r="N9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97" s="7">
        <f>dataset!$K97+dataset!$M97</f>
        <v>2753220</v>
      </c>
      <c r="P97" s="7">
        <f>Payroll_Data_Analysis[[#This Row],[Annual Salary + KPI Bonus]]/12/29.3*31</f>
        <v>242746.92832764506</v>
      </c>
      <c r="Q97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97" s="7">
        <f>Payroll_Data_Analysis[[#This Row],[Monthly Salary]]*11</f>
        <v>2327600</v>
      </c>
      <c r="S97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97" s="7">
        <f>IF(Payroll_Data_Analysis[[#This Row],[Base Salary (Monthly)]]&gt;=200000,69507,IF(Payroll_Data_Analysis[[#This Row],[Base Salary (Monthly)]]&gt;=145000,52684,35103))</f>
        <v>52684</v>
      </c>
      <c r="U97" s="7">
        <f>Payroll_Data_Analysis[[#This Row],[Annual KPI Bonus Reserve]]+Payroll_Data_Analysis[[#This Row],[Vacation Reserve]]+Payroll_Data_Analysis[[#This Row],[11-Month Salary]]</f>
        <v>2784366.9283276452</v>
      </c>
      <c r="V97" s="7">
        <f>Payroll_Data_Analysis[[#This Row],[Payroll Taxes (KPI Bonus)]]+Payroll_Data_Analysis[[#This Row],[Payroll Taxes (Vacation)]]+Payroll_Data_Analysis[[#This Row],[Payroll Taxes (Salary)]]</f>
        <v>840878.81235494872</v>
      </c>
      <c r="W97" s="13">
        <f>Payroll_Data_Analysis[[#This Row],[Total Payroll]]+Payroll_Data_Analysis[[#This Row],[Total Payroll Taxes]]</f>
        <v>3625245.740682594</v>
      </c>
    </row>
    <row r="98" spans="1:23">
      <c r="A98" s="11" t="s">
        <v>651</v>
      </c>
      <c r="B98" s="5" t="s">
        <v>101</v>
      </c>
      <c r="C98" s="5" t="s">
        <v>708</v>
      </c>
      <c r="D98" s="28" t="str">
        <f>VLOOKUP(Payroll_Data_Analysis[[#This Row],[Position]],Position_Map!$A$2:$B$58,2,FALSE)</f>
        <v>Professional</v>
      </c>
      <c r="E98" s="6">
        <v>1</v>
      </c>
      <c r="F98" s="7">
        <v>138000</v>
      </c>
      <c r="G98" s="7">
        <v>100000</v>
      </c>
      <c r="H98" s="7"/>
      <c r="I98" s="7">
        <f>dataset!$F98-dataset!$J98-dataset!$G98-dataset!$H98</f>
        <v>30000</v>
      </c>
      <c r="J98" s="7">
        <f>dataset!$G98*0.08</f>
        <v>8000</v>
      </c>
      <c r="K98" s="7">
        <f>dataset!$F98*12</f>
        <v>1656000</v>
      </c>
      <c r="L98" s="12">
        <f>IF(dataset!$G98&gt;=200000,38%,IF(dataset!$G98&lt;=145000,12.3%,))</f>
        <v>0.12300000000000001</v>
      </c>
      <c r="M98" s="7">
        <f>dataset!$G98*L99*12</f>
        <v>147600.00000000003</v>
      </c>
      <c r="N9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98" s="7">
        <f>dataset!$K98+dataset!$M98</f>
        <v>1803600</v>
      </c>
      <c r="P98" s="7">
        <f>Payroll_Data_Analysis[[#This Row],[Annual Salary + KPI Bonus]]/12/29.3*31</f>
        <v>159020.47781569965</v>
      </c>
      <c r="Q98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98" s="7">
        <f>Payroll_Data_Analysis[[#This Row],[Monthly Salary]]*11</f>
        <v>1518000</v>
      </c>
      <c r="S98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98" s="7">
        <f>IF(Payroll_Data_Analysis[[#This Row],[Base Salary (Monthly)]]&gt;=200000,69507,IF(Payroll_Data_Analysis[[#This Row],[Base Salary (Monthly)]]&gt;=145000,52684,35103))</f>
        <v>35103</v>
      </c>
      <c r="U98" s="7">
        <f>Payroll_Data_Analysis[[#This Row],[Annual KPI Bonus Reserve]]+Payroll_Data_Analysis[[#This Row],[Vacation Reserve]]+Payroll_Data_Analysis[[#This Row],[11-Month Salary]]</f>
        <v>1824620.4778156998</v>
      </c>
      <c r="V98" s="7">
        <f>Payroll_Data_Analysis[[#This Row],[Payroll Taxes (KPI Bonus)]]+Payroll_Data_Analysis[[#This Row],[Payroll Taxes (Vacation)]]+Payroll_Data_Analysis[[#This Row],[Payroll Taxes (Salary)]]</f>
        <v>551035.38430034136</v>
      </c>
      <c r="W98" s="13">
        <f>Payroll_Data_Analysis[[#This Row],[Total Payroll]]+Payroll_Data_Analysis[[#This Row],[Total Payroll Taxes]]</f>
        <v>2375655.8621160411</v>
      </c>
    </row>
    <row r="99" spans="1:23">
      <c r="A99" s="11" t="s">
        <v>651</v>
      </c>
      <c r="B99" s="5" t="s">
        <v>102</v>
      </c>
      <c r="C99" s="5" t="s">
        <v>708</v>
      </c>
      <c r="D99" s="28" t="str">
        <f>VLOOKUP(Payroll_Data_Analysis[[#This Row],[Position]],Position_Map!$A$2:$B$58,2,FALSE)</f>
        <v>Professional</v>
      </c>
      <c r="E99" s="6">
        <v>1</v>
      </c>
      <c r="F99" s="7">
        <v>211100</v>
      </c>
      <c r="G99" s="7">
        <v>145000</v>
      </c>
      <c r="H99" s="7"/>
      <c r="I99" s="7">
        <f>dataset!$F99-dataset!$J99-dataset!$G99-dataset!$H99</f>
        <v>54500</v>
      </c>
      <c r="J99" s="7">
        <f>dataset!$G99*0.08</f>
        <v>11600</v>
      </c>
      <c r="K99" s="7">
        <f>dataset!$F99*12</f>
        <v>2533200</v>
      </c>
      <c r="L99" s="12">
        <f>IF(dataset!$G99&gt;=200000,38%,IF(dataset!$G99&lt;=145000,12.3%,))</f>
        <v>0.12300000000000001</v>
      </c>
      <c r="M99" s="7">
        <f>dataset!$G99*L100*12</f>
        <v>214020</v>
      </c>
      <c r="N9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99" s="7">
        <f>dataset!$K99+dataset!$M99</f>
        <v>2747220</v>
      </c>
      <c r="P99" s="7">
        <f>Payroll_Data_Analysis[[#This Row],[Annual Salary + KPI Bonus]]/12/29.3*31</f>
        <v>242217.91808873721</v>
      </c>
      <c r="Q99" s="7">
        <f>IF(Payroll_Data_Analysis[[#This Row],[Vacation Reserve]]&lt;=2979000,Payroll_Data_Analysis[[#This Row],[Vacation Reserve]]*0.302,2979000*0.302+(Payroll_Data_Analysis[[#This Row],[Vacation Reserve]]-2979000)*0.151)</f>
        <v>73149.811262798641</v>
      </c>
      <c r="R99" s="7">
        <f>Payroll_Data_Analysis[[#This Row],[Monthly Salary]]*11</f>
        <v>2322100</v>
      </c>
      <c r="S99" s="7">
        <f>IF(Payroll_Data_Analysis[[#This Row],[11-Month Salary]]&lt;=2979000,Payroll_Data_Analysis[[#This Row],[11-Month Salary]]*0.302,2979000*0.302+(Payroll_Data_Analysis[[#This Row],[11-Month Salary]]-2979000)*0.151)</f>
        <v>701274.2</v>
      </c>
      <c r="T99" s="7">
        <f>IF(Payroll_Data_Analysis[[#This Row],[Base Salary (Monthly)]]&gt;=200000,69507,IF(Payroll_Data_Analysis[[#This Row],[Base Salary (Monthly)]]&gt;=145000,52684,35103))</f>
        <v>52684</v>
      </c>
      <c r="U99" s="7">
        <f>Payroll_Data_Analysis[[#This Row],[Annual KPI Bonus Reserve]]+Payroll_Data_Analysis[[#This Row],[Vacation Reserve]]+Payroll_Data_Analysis[[#This Row],[11-Month Salary]]</f>
        <v>2778337.9180887369</v>
      </c>
      <c r="V99" s="7">
        <f>Payroll_Data_Analysis[[#This Row],[Payroll Taxes (KPI Bonus)]]+Payroll_Data_Analysis[[#This Row],[Payroll Taxes (Vacation)]]+Payroll_Data_Analysis[[#This Row],[Payroll Taxes (Salary)]]</f>
        <v>839058.0512627986</v>
      </c>
      <c r="W99" s="13">
        <f>Payroll_Data_Analysis[[#This Row],[Total Payroll]]+Payroll_Data_Analysis[[#This Row],[Total Payroll Taxes]]</f>
        <v>3617395.9693515357</v>
      </c>
    </row>
    <row r="100" spans="1:23">
      <c r="A100" s="11" t="s">
        <v>651</v>
      </c>
      <c r="B100" s="5" t="s">
        <v>103</v>
      </c>
      <c r="C100" s="5" t="s">
        <v>708</v>
      </c>
      <c r="D100" s="28" t="str">
        <f>VLOOKUP(Payroll_Data_Analysis[[#This Row],[Position]],Position_Map!$A$2:$B$58,2,FALSE)</f>
        <v>Professional</v>
      </c>
      <c r="E100" s="6">
        <v>1</v>
      </c>
      <c r="F100" s="7">
        <v>211100</v>
      </c>
      <c r="G100" s="7">
        <v>145000</v>
      </c>
      <c r="H100" s="7"/>
      <c r="I100" s="7">
        <f>dataset!$F100-dataset!$J100-dataset!$G100-dataset!$H100</f>
        <v>54500</v>
      </c>
      <c r="J100" s="7">
        <f>dataset!$G100*0.08</f>
        <v>11600</v>
      </c>
      <c r="K100" s="7">
        <f>dataset!$F100*12</f>
        <v>2533200</v>
      </c>
      <c r="L100" s="12">
        <f>IF(dataset!$G100&gt;=200000,38%,IF(dataset!$G100&lt;=145000,12.3%,))</f>
        <v>0.12300000000000001</v>
      </c>
      <c r="M100" s="7">
        <f>dataset!$G100*L101*12</f>
        <v>214020</v>
      </c>
      <c r="N10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00" s="7">
        <f>dataset!$K100+dataset!$M100</f>
        <v>2747220</v>
      </c>
      <c r="P100" s="7">
        <f>Payroll_Data_Analysis[[#This Row],[Annual Salary + KPI Bonus]]/12/29.3*31</f>
        <v>242217.91808873721</v>
      </c>
      <c r="Q100" s="7">
        <f>IF(Payroll_Data_Analysis[[#This Row],[Vacation Reserve]]&lt;=2979000,Payroll_Data_Analysis[[#This Row],[Vacation Reserve]]*0.302,2979000*0.302+(Payroll_Data_Analysis[[#This Row],[Vacation Reserve]]-2979000)*0.151)</f>
        <v>73149.811262798641</v>
      </c>
      <c r="R100" s="7">
        <f>Payroll_Data_Analysis[[#This Row],[Monthly Salary]]*11</f>
        <v>2322100</v>
      </c>
      <c r="S100" s="7">
        <f>IF(Payroll_Data_Analysis[[#This Row],[11-Month Salary]]&lt;=2979000,Payroll_Data_Analysis[[#This Row],[11-Month Salary]]*0.302,2979000*0.302+(Payroll_Data_Analysis[[#This Row],[11-Month Salary]]-2979000)*0.151)</f>
        <v>701274.2</v>
      </c>
      <c r="T100" s="7">
        <f>IF(Payroll_Data_Analysis[[#This Row],[Base Salary (Monthly)]]&gt;=200000,69507,IF(Payroll_Data_Analysis[[#This Row],[Base Salary (Monthly)]]&gt;=145000,52684,35103))</f>
        <v>52684</v>
      </c>
      <c r="U100" s="7">
        <f>Payroll_Data_Analysis[[#This Row],[Annual KPI Bonus Reserve]]+Payroll_Data_Analysis[[#This Row],[Vacation Reserve]]+Payroll_Data_Analysis[[#This Row],[11-Month Salary]]</f>
        <v>2778337.9180887369</v>
      </c>
      <c r="V100" s="7">
        <f>Payroll_Data_Analysis[[#This Row],[Payroll Taxes (KPI Bonus)]]+Payroll_Data_Analysis[[#This Row],[Payroll Taxes (Vacation)]]+Payroll_Data_Analysis[[#This Row],[Payroll Taxes (Salary)]]</f>
        <v>839058.0512627986</v>
      </c>
      <c r="W100" s="13">
        <f>Payroll_Data_Analysis[[#This Row],[Total Payroll]]+Payroll_Data_Analysis[[#This Row],[Total Payroll Taxes]]</f>
        <v>3617395.9693515357</v>
      </c>
    </row>
    <row r="101" spans="1:23">
      <c r="A101" s="11" t="s">
        <v>651</v>
      </c>
      <c r="B101" s="5" t="s">
        <v>104</v>
      </c>
      <c r="C101" s="5" t="s">
        <v>703</v>
      </c>
      <c r="D101" s="28" t="str">
        <f>VLOOKUP(Payroll_Data_Analysis[[#This Row],[Position]],Position_Map!$A$2:$B$58,2,FALSE)</f>
        <v>Management</v>
      </c>
      <c r="E101" s="6">
        <v>1</v>
      </c>
      <c r="F101" s="7">
        <v>261600</v>
      </c>
      <c r="G101" s="7">
        <v>145000</v>
      </c>
      <c r="H101" s="7"/>
      <c r="I101" s="7">
        <f>dataset!$F101-dataset!$J101-dataset!$G101-dataset!$H101</f>
        <v>105000</v>
      </c>
      <c r="J101" s="7">
        <f>dataset!$G101*0.08</f>
        <v>11600</v>
      </c>
      <c r="K101" s="7">
        <f>dataset!$F101*12</f>
        <v>3139200</v>
      </c>
      <c r="L101" s="12">
        <f>IF(dataset!$G101&gt;=200000,38%,IF(dataset!$G101&lt;=145000,12.3%,))</f>
        <v>0.12300000000000001</v>
      </c>
      <c r="M101" s="7">
        <f>dataset!$G101*L102*12</f>
        <v>214020</v>
      </c>
      <c r="N10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01" s="7">
        <f>dataset!$K101+dataset!$M101</f>
        <v>3353220</v>
      </c>
      <c r="P101" s="7">
        <f>Payroll_Data_Analysis[[#This Row],[Annual Salary + KPI Bonus]]/12/29.3*31</f>
        <v>295647.95221843006</v>
      </c>
      <c r="Q101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101" s="7">
        <f>Payroll_Data_Analysis[[#This Row],[Monthly Salary]]*11</f>
        <v>2877600</v>
      </c>
      <c r="S101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101" s="7">
        <f>IF(Payroll_Data_Analysis[[#This Row],[Base Salary (Monthly)]]&gt;=200000,69507,IF(Payroll_Data_Analysis[[#This Row],[Base Salary (Monthly)]]&gt;=145000,52684,35103))</f>
        <v>52684</v>
      </c>
      <c r="U101" s="7">
        <f>Payroll_Data_Analysis[[#This Row],[Annual KPI Bonus Reserve]]+Payroll_Data_Analysis[[#This Row],[Vacation Reserve]]+Payroll_Data_Analysis[[#This Row],[11-Month Salary]]</f>
        <v>3387267.9522184301</v>
      </c>
      <c r="V101" s="7">
        <f>Payroll_Data_Analysis[[#This Row],[Payroll Taxes (KPI Bonus)]]+Payroll_Data_Analysis[[#This Row],[Payroll Taxes (Vacation)]]+Payroll_Data_Analysis[[#This Row],[Payroll Taxes (Salary)]]</f>
        <v>1022954.9215699658</v>
      </c>
      <c r="W101" s="13">
        <f>Payroll_Data_Analysis[[#This Row],[Total Payroll]]+Payroll_Data_Analysis[[#This Row],[Total Payroll Taxes]]</f>
        <v>4410222.8737883959</v>
      </c>
    </row>
    <row r="102" spans="1:23">
      <c r="A102" s="11" t="s">
        <v>651</v>
      </c>
      <c r="B102" s="5" t="s">
        <v>105</v>
      </c>
      <c r="C102" s="5" t="s">
        <v>708</v>
      </c>
      <c r="D102" s="28" t="str">
        <f>VLOOKUP(Payroll_Data_Analysis[[#This Row],[Position]],Position_Map!$A$2:$B$58,2,FALSE)</f>
        <v>Professional</v>
      </c>
      <c r="E102" s="6">
        <v>1</v>
      </c>
      <c r="F102" s="7">
        <v>158000</v>
      </c>
      <c r="G102" s="7">
        <v>100000</v>
      </c>
      <c r="H102" s="7"/>
      <c r="I102" s="7">
        <f>dataset!$F102-dataset!$J102-dataset!$G102-dataset!$H102</f>
        <v>50000</v>
      </c>
      <c r="J102" s="7">
        <f>dataset!$G102*0.08</f>
        <v>8000</v>
      </c>
      <c r="K102" s="7">
        <f>dataset!$F102*12</f>
        <v>1896000</v>
      </c>
      <c r="L102" s="12">
        <f>IF(dataset!$G102&gt;=200000,38%,IF(dataset!$G102&lt;=145000,12.3%,))</f>
        <v>0.12300000000000001</v>
      </c>
      <c r="M102" s="7">
        <f>dataset!$G102*L103*12</f>
        <v>147600.00000000003</v>
      </c>
      <c r="N10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02" s="7">
        <f>dataset!$K102+dataset!$M102</f>
        <v>2043600</v>
      </c>
      <c r="P102" s="7">
        <f>Payroll_Data_Analysis[[#This Row],[Annual Salary + KPI Bonus]]/12/29.3*31</f>
        <v>180180.88737201365</v>
      </c>
      <c r="Q102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102" s="7">
        <f>Payroll_Data_Analysis[[#This Row],[Monthly Salary]]*11</f>
        <v>1738000</v>
      </c>
      <c r="S102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102" s="7">
        <f>IF(Payroll_Data_Analysis[[#This Row],[Base Salary (Monthly)]]&gt;=200000,69507,IF(Payroll_Data_Analysis[[#This Row],[Base Salary (Monthly)]]&gt;=145000,52684,35103))</f>
        <v>35103</v>
      </c>
      <c r="U102" s="7">
        <f>Payroll_Data_Analysis[[#This Row],[Annual KPI Bonus Reserve]]+Payroll_Data_Analysis[[#This Row],[Vacation Reserve]]+Payroll_Data_Analysis[[#This Row],[11-Month Salary]]</f>
        <v>2065780.8873720136</v>
      </c>
      <c r="V102" s="7">
        <f>Payroll_Data_Analysis[[#This Row],[Payroll Taxes (KPI Bonus)]]+Payroll_Data_Analysis[[#This Row],[Payroll Taxes (Vacation)]]+Payroll_Data_Analysis[[#This Row],[Payroll Taxes (Salary)]]</f>
        <v>623865.82798634819</v>
      </c>
      <c r="W102" s="13">
        <f>Payroll_Data_Analysis[[#This Row],[Total Payroll]]+Payroll_Data_Analysis[[#This Row],[Total Payroll Taxes]]</f>
        <v>2689646.7153583616</v>
      </c>
    </row>
    <row r="103" spans="1:23">
      <c r="A103" s="11" t="s">
        <v>651</v>
      </c>
      <c r="B103" s="5" t="s">
        <v>106</v>
      </c>
      <c r="C103" s="5" t="s">
        <v>705</v>
      </c>
      <c r="D103" s="28" t="str">
        <f>VLOOKUP(Payroll_Data_Analysis[[#This Row],[Position]],Position_Map!$A$2:$B$58,2,FALSE)</f>
        <v>Professional</v>
      </c>
      <c r="E103" s="6">
        <v>1</v>
      </c>
      <c r="F103" s="7">
        <v>126400</v>
      </c>
      <c r="G103" s="7">
        <v>80000</v>
      </c>
      <c r="H103" s="7"/>
      <c r="I103" s="7">
        <f>dataset!$F103-dataset!$J103-dataset!$G103-dataset!$H103</f>
        <v>40000</v>
      </c>
      <c r="J103" s="7">
        <f>dataset!$G103*0.08</f>
        <v>6400</v>
      </c>
      <c r="K103" s="7">
        <f>dataset!$F103*12</f>
        <v>1516800</v>
      </c>
      <c r="L103" s="12">
        <f>IF(dataset!$G103&gt;=200000,38%,IF(dataset!$G103&lt;=145000,12.3%,))</f>
        <v>0.12300000000000001</v>
      </c>
      <c r="M103" s="7">
        <f>dataset!$G103*L104*12</f>
        <v>118080.00000000003</v>
      </c>
      <c r="N10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03" s="7">
        <f>dataset!$K103+dataset!$M103</f>
        <v>1634880</v>
      </c>
      <c r="P103" s="7">
        <f>Payroll_Data_Analysis[[#This Row],[Annual Salary + KPI Bonus]]/12/29.3*31</f>
        <v>144144.70989761094</v>
      </c>
      <c r="Q103" s="7">
        <f>IF(Payroll_Data_Analysis[[#This Row],[Vacation Reserve]]&lt;=2979000,Payroll_Data_Analysis[[#This Row],[Vacation Reserve]]*0.302,2979000*0.302+(Payroll_Data_Analysis[[#This Row],[Vacation Reserve]]-2979000)*0.151)</f>
        <v>43531.702389078506</v>
      </c>
      <c r="R103" s="7">
        <f>Payroll_Data_Analysis[[#This Row],[Monthly Salary]]*11</f>
        <v>1390400</v>
      </c>
      <c r="S103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103" s="7">
        <f>IF(Payroll_Data_Analysis[[#This Row],[Base Salary (Monthly)]]&gt;=200000,69507,IF(Payroll_Data_Analysis[[#This Row],[Base Salary (Monthly)]]&gt;=145000,52684,35103))</f>
        <v>35103</v>
      </c>
      <c r="U103" s="7">
        <f>Payroll_Data_Analysis[[#This Row],[Annual KPI Bonus Reserve]]+Payroll_Data_Analysis[[#This Row],[Vacation Reserve]]+Payroll_Data_Analysis[[#This Row],[11-Month Salary]]</f>
        <v>1652624.7098976108</v>
      </c>
      <c r="V103" s="7">
        <f>Payroll_Data_Analysis[[#This Row],[Payroll Taxes (KPI Bonus)]]+Payroll_Data_Analysis[[#This Row],[Payroll Taxes (Vacation)]]+Payroll_Data_Analysis[[#This Row],[Payroll Taxes (Salary)]]</f>
        <v>499092.66238907853</v>
      </c>
      <c r="W103" s="13">
        <f>Payroll_Data_Analysis[[#This Row],[Total Payroll]]+Payroll_Data_Analysis[[#This Row],[Total Payroll Taxes]]</f>
        <v>2151717.3722866895</v>
      </c>
    </row>
    <row r="104" spans="1:23">
      <c r="A104" s="11" t="s">
        <v>651</v>
      </c>
      <c r="B104" s="5" t="s">
        <v>107</v>
      </c>
      <c r="C104" s="5" t="s">
        <v>709</v>
      </c>
      <c r="D104" s="28" t="str">
        <f>VLOOKUP(Payroll_Data_Analysis[[#This Row],[Position]],Position_Map!$A$2:$B$58,2,FALSE)</f>
        <v>Engineering</v>
      </c>
      <c r="E104" s="6">
        <v>1</v>
      </c>
      <c r="F104" s="7">
        <v>173000</v>
      </c>
      <c r="G104" s="7">
        <v>100000</v>
      </c>
      <c r="H104" s="7"/>
      <c r="I104" s="7">
        <f>dataset!$F104-dataset!$J104-dataset!$G104-dataset!$H104</f>
        <v>65000</v>
      </c>
      <c r="J104" s="7">
        <f>dataset!$G104*0.08</f>
        <v>8000</v>
      </c>
      <c r="K104" s="7">
        <f>dataset!$F104*12</f>
        <v>2076000</v>
      </c>
      <c r="L104" s="12">
        <f>IF(dataset!$G104&gt;=200000,38%,IF(dataset!$G104&lt;=145000,12.3%,))</f>
        <v>0.12300000000000001</v>
      </c>
      <c r="M104" s="7">
        <f>dataset!$G104*L105*12</f>
        <v>147600.00000000003</v>
      </c>
      <c r="N10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04" s="7">
        <f>dataset!$K104+dataset!$M104</f>
        <v>2223600</v>
      </c>
      <c r="P104" s="7">
        <f>Payroll_Data_Analysis[[#This Row],[Annual Salary + KPI Bonus]]/12/29.3*31</f>
        <v>196051.19453924915</v>
      </c>
      <c r="Q104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104" s="7">
        <f>Payroll_Data_Analysis[[#This Row],[Monthly Salary]]*11</f>
        <v>1903000</v>
      </c>
      <c r="S104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104" s="7">
        <f>IF(Payroll_Data_Analysis[[#This Row],[Base Salary (Monthly)]]&gt;=200000,69507,IF(Payroll_Data_Analysis[[#This Row],[Base Salary (Monthly)]]&gt;=145000,52684,35103))</f>
        <v>35103</v>
      </c>
      <c r="U104" s="7">
        <f>Payroll_Data_Analysis[[#This Row],[Annual KPI Bonus Reserve]]+Payroll_Data_Analysis[[#This Row],[Vacation Reserve]]+Payroll_Data_Analysis[[#This Row],[11-Month Salary]]</f>
        <v>2246651.1945392489</v>
      </c>
      <c r="V104" s="7">
        <f>Payroll_Data_Analysis[[#This Row],[Payroll Taxes (KPI Bonus)]]+Payroll_Data_Analysis[[#This Row],[Payroll Taxes (Vacation)]]+Payroll_Data_Analysis[[#This Row],[Payroll Taxes (Salary)]]</f>
        <v>678488.66075085325</v>
      </c>
      <c r="W104" s="13">
        <f>Payroll_Data_Analysis[[#This Row],[Total Payroll]]+Payroll_Data_Analysis[[#This Row],[Total Payroll Taxes]]</f>
        <v>2925139.8552901023</v>
      </c>
    </row>
    <row r="105" spans="1:23">
      <c r="A105" s="11" t="s">
        <v>652</v>
      </c>
      <c r="B105" s="5" t="s">
        <v>108</v>
      </c>
      <c r="C105" s="5" t="s">
        <v>706</v>
      </c>
      <c r="D105" s="28" t="str">
        <f>VLOOKUP(Payroll_Data_Analysis[[#This Row],[Position]],Position_Map!$A$2:$B$58,2,FALSE)</f>
        <v>Management</v>
      </c>
      <c r="E105" s="6">
        <v>1</v>
      </c>
      <c r="F105" s="7">
        <v>238600</v>
      </c>
      <c r="G105" s="7">
        <v>145000</v>
      </c>
      <c r="H105" s="7"/>
      <c r="I105" s="7">
        <f>dataset!$F105-dataset!$J105-dataset!$G105-dataset!$H105</f>
        <v>82000</v>
      </c>
      <c r="J105" s="7">
        <f>dataset!$G105*0.08</f>
        <v>11600</v>
      </c>
      <c r="K105" s="7">
        <f>dataset!$F105*12</f>
        <v>2863200</v>
      </c>
      <c r="L105" s="12">
        <f>IF(dataset!$G105&gt;=200000,38%,IF(dataset!$G105&lt;=145000,12.3%,))</f>
        <v>0.12300000000000001</v>
      </c>
      <c r="M105" s="7">
        <f>dataset!$G105*L106*12</f>
        <v>214020</v>
      </c>
      <c r="N10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05" s="7">
        <f>dataset!$K105+dataset!$M105</f>
        <v>3077220</v>
      </c>
      <c r="P105" s="7">
        <f>Payroll_Data_Analysis[[#This Row],[Annual Salary + KPI Bonus]]/12/29.3*31</f>
        <v>271313.48122866894</v>
      </c>
      <c r="Q105" s="7">
        <f>IF(Payroll_Data_Analysis[[#This Row],[Vacation Reserve]]&lt;=2979000,Payroll_Data_Analysis[[#This Row],[Vacation Reserve]]*0.302,2979000*0.302+(Payroll_Data_Analysis[[#This Row],[Vacation Reserve]]-2979000)*0.151)</f>
        <v>81936.671331058023</v>
      </c>
      <c r="R105" s="7">
        <f>Payroll_Data_Analysis[[#This Row],[Monthly Salary]]*11</f>
        <v>2624600</v>
      </c>
      <c r="S105" s="7">
        <f>IF(Payroll_Data_Analysis[[#This Row],[11-Month Salary]]&lt;=2979000,Payroll_Data_Analysis[[#This Row],[11-Month Salary]]*0.302,2979000*0.302+(Payroll_Data_Analysis[[#This Row],[11-Month Salary]]-2979000)*0.151)</f>
        <v>792629.2</v>
      </c>
      <c r="T105" s="7">
        <f>IF(Payroll_Data_Analysis[[#This Row],[Base Salary (Monthly)]]&gt;=200000,69507,IF(Payroll_Data_Analysis[[#This Row],[Base Salary (Monthly)]]&gt;=145000,52684,35103))</f>
        <v>52684</v>
      </c>
      <c r="U105" s="7">
        <f>Payroll_Data_Analysis[[#This Row],[Annual KPI Bonus Reserve]]+Payroll_Data_Analysis[[#This Row],[Vacation Reserve]]+Payroll_Data_Analysis[[#This Row],[11-Month Salary]]</f>
        <v>3109933.4812286692</v>
      </c>
      <c r="V105" s="7">
        <f>Payroll_Data_Analysis[[#This Row],[Payroll Taxes (KPI Bonus)]]+Payroll_Data_Analysis[[#This Row],[Payroll Taxes (Vacation)]]+Payroll_Data_Analysis[[#This Row],[Payroll Taxes (Salary)]]</f>
        <v>939199.91133105801</v>
      </c>
      <c r="W105" s="13">
        <f>Payroll_Data_Analysis[[#This Row],[Total Payroll]]+Payroll_Data_Analysis[[#This Row],[Total Payroll Taxes]]</f>
        <v>4049133.3925597272</v>
      </c>
    </row>
    <row r="106" spans="1:23">
      <c r="A106" s="11" t="s">
        <v>652</v>
      </c>
      <c r="B106" s="5" t="s">
        <v>109</v>
      </c>
      <c r="C106" s="5" t="s">
        <v>717</v>
      </c>
      <c r="D106" s="28" t="str">
        <f>VLOOKUP(Payroll_Data_Analysis[[#This Row],[Position]],Position_Map!$A$2:$B$58,2,FALSE)</f>
        <v>Engineering</v>
      </c>
      <c r="E106" s="6">
        <v>1</v>
      </c>
      <c r="F106" s="7">
        <v>211600</v>
      </c>
      <c r="G106" s="7">
        <v>145000</v>
      </c>
      <c r="H106" s="7"/>
      <c r="I106" s="7">
        <f>dataset!$F106-dataset!$J106-dataset!$G106-dataset!$H106</f>
        <v>55000</v>
      </c>
      <c r="J106" s="7">
        <f>dataset!$G106*0.08</f>
        <v>11600</v>
      </c>
      <c r="K106" s="7">
        <f>dataset!$F106*12</f>
        <v>2539200</v>
      </c>
      <c r="L106" s="12">
        <f>IF(dataset!$G106&gt;=200000,38%,IF(dataset!$G106&lt;=145000,12.3%,))</f>
        <v>0.12300000000000001</v>
      </c>
      <c r="M106" s="7">
        <f>dataset!$G106*L107*12</f>
        <v>214020</v>
      </c>
      <c r="N10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06" s="7">
        <f>dataset!$K106+dataset!$M106</f>
        <v>2753220</v>
      </c>
      <c r="P106" s="7">
        <f>Payroll_Data_Analysis[[#This Row],[Annual Salary + KPI Bonus]]/12/29.3*31</f>
        <v>242746.92832764506</v>
      </c>
      <c r="Q106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106" s="7">
        <f>Payroll_Data_Analysis[[#This Row],[Monthly Salary]]*11</f>
        <v>2327600</v>
      </c>
      <c r="S106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106" s="7">
        <f>IF(Payroll_Data_Analysis[[#This Row],[Base Salary (Monthly)]]&gt;=200000,69507,IF(Payroll_Data_Analysis[[#This Row],[Base Salary (Monthly)]]&gt;=145000,52684,35103))</f>
        <v>52684</v>
      </c>
      <c r="U106" s="7">
        <f>Payroll_Data_Analysis[[#This Row],[Annual KPI Bonus Reserve]]+Payroll_Data_Analysis[[#This Row],[Vacation Reserve]]+Payroll_Data_Analysis[[#This Row],[11-Month Salary]]</f>
        <v>2784366.9283276452</v>
      </c>
      <c r="V106" s="7">
        <f>Payroll_Data_Analysis[[#This Row],[Payroll Taxes (KPI Bonus)]]+Payroll_Data_Analysis[[#This Row],[Payroll Taxes (Vacation)]]+Payroll_Data_Analysis[[#This Row],[Payroll Taxes (Salary)]]</f>
        <v>840878.81235494872</v>
      </c>
      <c r="W106" s="13">
        <f>Payroll_Data_Analysis[[#This Row],[Total Payroll]]+Payroll_Data_Analysis[[#This Row],[Total Payroll Taxes]]</f>
        <v>3625245.740682594</v>
      </c>
    </row>
    <row r="107" spans="1:23">
      <c r="A107" s="11" t="s">
        <v>652</v>
      </c>
      <c r="B107" s="5" t="s">
        <v>110</v>
      </c>
      <c r="C107" s="5" t="s">
        <v>698</v>
      </c>
      <c r="D107" s="28" t="str">
        <f>VLOOKUP(Payroll_Data_Analysis[[#This Row],[Position]],Position_Map!$A$2:$B$58,2,FALSE)</f>
        <v>Administration</v>
      </c>
      <c r="E107" s="6">
        <v>1</v>
      </c>
      <c r="F107" s="7">
        <v>261600</v>
      </c>
      <c r="G107" s="7">
        <v>145000</v>
      </c>
      <c r="H107" s="7"/>
      <c r="I107" s="7">
        <f>dataset!$F107-dataset!$J107-dataset!$G107-dataset!$H107</f>
        <v>105000</v>
      </c>
      <c r="J107" s="7">
        <f>dataset!$G107*0.08</f>
        <v>11600</v>
      </c>
      <c r="K107" s="7">
        <f>dataset!$F107*12</f>
        <v>3139200</v>
      </c>
      <c r="L107" s="12">
        <f>IF(dataset!$G107&gt;=200000,38%,IF(dataset!$G107&lt;=145000,12.3%,))</f>
        <v>0.12300000000000001</v>
      </c>
      <c r="M107" s="7">
        <f>dataset!$G107*L108*12</f>
        <v>661200</v>
      </c>
      <c r="N107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107" s="7">
        <f>dataset!$K107+dataset!$M107</f>
        <v>3800400</v>
      </c>
      <c r="P107" s="7">
        <f>Payroll_Data_Analysis[[#This Row],[Annual Salary + KPI Bonus]]/12/29.3*31</f>
        <v>335075.08532423206</v>
      </c>
      <c r="Q107" s="7">
        <f>IF(Payroll_Data_Analysis[[#This Row],[Vacation Reserve]]&lt;=2979000,Payroll_Data_Analysis[[#This Row],[Vacation Reserve]]*0.302,2979000*0.302+(Payroll_Data_Analysis[[#This Row],[Vacation Reserve]]-2979000)*0.151)</f>
        <v>101192.67576791807</v>
      </c>
      <c r="R107" s="7">
        <f>Payroll_Data_Analysis[[#This Row],[Monthly Salary]]*11</f>
        <v>2877600</v>
      </c>
      <c r="S107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107" s="7">
        <f>IF(Payroll_Data_Analysis[[#This Row],[Base Salary (Monthly)]]&gt;=200000,69507,IF(Payroll_Data_Analysis[[#This Row],[Base Salary (Monthly)]]&gt;=145000,52684,35103))</f>
        <v>52684</v>
      </c>
      <c r="U107" s="7">
        <f>Payroll_Data_Analysis[[#This Row],[Annual KPI Bonus Reserve]]+Payroll_Data_Analysis[[#This Row],[Vacation Reserve]]+Payroll_Data_Analysis[[#This Row],[11-Month Salary]]</f>
        <v>3873875.085324232</v>
      </c>
      <c r="V107" s="7">
        <f>Payroll_Data_Analysis[[#This Row],[Payroll Taxes (KPI Bonus)]]+Payroll_Data_Analysis[[#This Row],[Payroll Taxes (Vacation)]]+Payroll_Data_Analysis[[#This Row],[Payroll Taxes (Salary)]]</f>
        <v>1169910.275767918</v>
      </c>
      <c r="W107" s="13">
        <f>Payroll_Data_Analysis[[#This Row],[Total Payroll]]+Payroll_Data_Analysis[[#This Row],[Total Payroll Taxes]]</f>
        <v>5043785.3610921502</v>
      </c>
    </row>
    <row r="108" spans="1:23">
      <c r="A108" s="11" t="s">
        <v>652</v>
      </c>
      <c r="B108" s="5" t="s">
        <v>111</v>
      </c>
      <c r="C108" s="5" t="s">
        <v>699</v>
      </c>
      <c r="D108" s="28" t="str">
        <f>VLOOKUP(Payroll_Data_Analysis[[#This Row],[Position]],Position_Map!$A$2:$B$58,2,FALSE)</f>
        <v>Professional</v>
      </c>
      <c r="E108" s="6">
        <v>1</v>
      </c>
      <c r="F108" s="7">
        <v>301000</v>
      </c>
      <c r="G108" s="7">
        <v>200000</v>
      </c>
      <c r="H108" s="7"/>
      <c r="I108" s="7">
        <f>dataset!$F108-dataset!$J108-dataset!$G108-dataset!$H108</f>
        <v>85000</v>
      </c>
      <c r="J108" s="7">
        <f>dataset!$G108*0.08</f>
        <v>16000</v>
      </c>
      <c r="K108" s="7">
        <f>dataset!$F108*12</f>
        <v>3612000</v>
      </c>
      <c r="L108" s="12">
        <f>IF(dataset!$G108&gt;=200000,38%,IF(dataset!$G108&lt;=145000,12.3%,))</f>
        <v>0.38</v>
      </c>
      <c r="M108" s="7">
        <f>dataset!$G108*L109*12</f>
        <v>295200.00000000006</v>
      </c>
      <c r="N108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108" s="7">
        <f>dataset!$K108+dataset!$M108</f>
        <v>3907200</v>
      </c>
      <c r="P108" s="7">
        <f>Payroll_Data_Analysis[[#This Row],[Annual Salary + KPI Bonus]]/12/29.3*31</f>
        <v>344491.46757679182</v>
      </c>
      <c r="Q108" s="7">
        <f>IF(Payroll_Data_Analysis[[#This Row],[Vacation Reserve]]&lt;=2979000,Payroll_Data_Analysis[[#This Row],[Vacation Reserve]]*0.302,2979000*0.302+(Payroll_Data_Analysis[[#This Row],[Vacation Reserve]]-2979000)*0.151)</f>
        <v>104036.42320819113</v>
      </c>
      <c r="R108" s="7">
        <f>Payroll_Data_Analysis[[#This Row],[Monthly Salary]]*11</f>
        <v>3311000</v>
      </c>
      <c r="S108" s="7">
        <f>IF(Payroll_Data_Analysis[[#This Row],[11-Month Salary]]&lt;=2979000,Payroll_Data_Analysis[[#This Row],[11-Month Salary]]*0.302,2979000*0.302+(Payroll_Data_Analysis[[#This Row],[11-Month Salary]]-2979000)*0.151)</f>
        <v>949790</v>
      </c>
      <c r="T108" s="7">
        <f>IF(Payroll_Data_Analysis[[#This Row],[Base Salary (Monthly)]]&gt;=200000,69507,IF(Payroll_Data_Analysis[[#This Row],[Base Salary (Monthly)]]&gt;=145000,52684,35103))</f>
        <v>69507</v>
      </c>
      <c r="U108" s="7">
        <f>Payroll_Data_Analysis[[#This Row],[Annual KPI Bonus Reserve]]+Payroll_Data_Analysis[[#This Row],[Vacation Reserve]]+Payroll_Data_Analysis[[#This Row],[11-Month Salary]]</f>
        <v>3950691.467576792</v>
      </c>
      <c r="V108" s="7">
        <f>Payroll_Data_Analysis[[#This Row],[Payroll Taxes (KPI Bonus)]]+Payroll_Data_Analysis[[#This Row],[Payroll Taxes (Vacation)]]+Payroll_Data_Analysis[[#This Row],[Payroll Taxes (Salary)]]</f>
        <v>1142976.8232081912</v>
      </c>
      <c r="W108" s="13">
        <f>Payroll_Data_Analysis[[#This Row],[Total Payroll]]+Payroll_Data_Analysis[[#This Row],[Total Payroll Taxes]]</f>
        <v>5093668.290784983</v>
      </c>
    </row>
    <row r="109" spans="1:23">
      <c r="A109" s="11" t="s">
        <v>652</v>
      </c>
      <c r="B109" s="5" t="s">
        <v>112</v>
      </c>
      <c r="C109" s="5" t="s">
        <v>699</v>
      </c>
      <c r="D109" s="28" t="str">
        <f>VLOOKUP(Payroll_Data_Analysis[[#This Row],[Position]],Position_Map!$A$2:$B$58,2,FALSE)</f>
        <v>Professional</v>
      </c>
      <c r="E109" s="6">
        <v>1</v>
      </c>
      <c r="F109" s="7">
        <v>138000</v>
      </c>
      <c r="G109" s="7">
        <v>100000</v>
      </c>
      <c r="H109" s="7"/>
      <c r="I109" s="7">
        <f>dataset!$F109-dataset!$J109-dataset!$G109-dataset!$H109</f>
        <v>30000</v>
      </c>
      <c r="J109" s="7">
        <f>dataset!$G109*0.08</f>
        <v>8000</v>
      </c>
      <c r="K109" s="7">
        <f>dataset!$F109*12</f>
        <v>1656000</v>
      </c>
      <c r="L109" s="12">
        <f>IF(dataset!$G109&gt;=200000,38%,IF(dataset!$G109&lt;=145000,12.3%,))</f>
        <v>0.12300000000000001</v>
      </c>
      <c r="M109" s="7">
        <f>dataset!$G109*L110*12</f>
        <v>147600.00000000003</v>
      </c>
      <c r="N10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09" s="7">
        <f>dataset!$K109+dataset!$M109</f>
        <v>1803600</v>
      </c>
      <c r="P109" s="7">
        <f>Payroll_Data_Analysis[[#This Row],[Annual Salary + KPI Bonus]]/12/29.3*31</f>
        <v>159020.47781569965</v>
      </c>
      <c r="Q109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109" s="7">
        <f>Payroll_Data_Analysis[[#This Row],[Monthly Salary]]*11</f>
        <v>1518000</v>
      </c>
      <c r="S109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109" s="7">
        <f>IF(Payroll_Data_Analysis[[#This Row],[Base Salary (Monthly)]]&gt;=200000,69507,IF(Payroll_Data_Analysis[[#This Row],[Base Salary (Monthly)]]&gt;=145000,52684,35103))</f>
        <v>35103</v>
      </c>
      <c r="U109" s="7">
        <f>Payroll_Data_Analysis[[#This Row],[Annual KPI Bonus Reserve]]+Payroll_Data_Analysis[[#This Row],[Vacation Reserve]]+Payroll_Data_Analysis[[#This Row],[11-Month Salary]]</f>
        <v>1824620.4778156998</v>
      </c>
      <c r="V109" s="7">
        <f>Payroll_Data_Analysis[[#This Row],[Payroll Taxes (KPI Bonus)]]+Payroll_Data_Analysis[[#This Row],[Payroll Taxes (Vacation)]]+Payroll_Data_Analysis[[#This Row],[Payroll Taxes (Salary)]]</f>
        <v>551035.38430034136</v>
      </c>
      <c r="W109" s="13">
        <f>Payroll_Data_Analysis[[#This Row],[Total Payroll]]+Payroll_Data_Analysis[[#This Row],[Total Payroll Taxes]]</f>
        <v>2375655.8621160411</v>
      </c>
    </row>
    <row r="110" spans="1:23">
      <c r="A110" s="11" t="s">
        <v>652</v>
      </c>
      <c r="B110" s="5" t="s">
        <v>113</v>
      </c>
      <c r="C110" s="5" t="s">
        <v>703</v>
      </c>
      <c r="D110" s="28" t="str">
        <f>VLOOKUP(Payroll_Data_Analysis[[#This Row],[Position]],Position_Map!$A$2:$B$58,2,FALSE)</f>
        <v>Management</v>
      </c>
      <c r="E110" s="6">
        <v>1</v>
      </c>
      <c r="F110" s="7">
        <v>196600</v>
      </c>
      <c r="G110" s="7">
        <v>145000</v>
      </c>
      <c r="H110" s="7"/>
      <c r="I110" s="7">
        <f>dataset!$F110-dataset!$J110-dataset!$G110-dataset!$H110</f>
        <v>40000</v>
      </c>
      <c r="J110" s="7">
        <f>dataset!$G110*0.08</f>
        <v>11600</v>
      </c>
      <c r="K110" s="7">
        <f>dataset!$F110*12</f>
        <v>2359200</v>
      </c>
      <c r="L110" s="12">
        <f>IF(dataset!$G110&gt;=200000,38%,IF(dataset!$G110&lt;=145000,12.3%,))</f>
        <v>0.12300000000000001</v>
      </c>
      <c r="M110" s="7">
        <f>dataset!$G110*L111*12</f>
        <v>214020</v>
      </c>
      <c r="N11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10" s="7">
        <f>dataset!$K110+dataset!$M110</f>
        <v>2573220</v>
      </c>
      <c r="P110" s="7">
        <f>Payroll_Data_Analysis[[#This Row],[Annual Salary + KPI Bonus]]/12/29.3*31</f>
        <v>226876.62116040956</v>
      </c>
      <c r="Q110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110" s="7">
        <f>Payroll_Data_Analysis[[#This Row],[Monthly Salary]]*11</f>
        <v>2162600</v>
      </c>
      <c r="S110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110" s="7">
        <f>IF(Payroll_Data_Analysis[[#This Row],[Base Salary (Monthly)]]&gt;=200000,69507,IF(Payroll_Data_Analysis[[#This Row],[Base Salary (Monthly)]]&gt;=145000,52684,35103))</f>
        <v>52684</v>
      </c>
      <c r="U110" s="7">
        <f>Payroll_Data_Analysis[[#This Row],[Annual KPI Bonus Reserve]]+Payroll_Data_Analysis[[#This Row],[Vacation Reserve]]+Payroll_Data_Analysis[[#This Row],[11-Month Salary]]</f>
        <v>2603496.6211604094</v>
      </c>
      <c r="V110" s="7">
        <f>Payroll_Data_Analysis[[#This Row],[Payroll Taxes (KPI Bonus)]]+Payroll_Data_Analysis[[#This Row],[Payroll Taxes (Vacation)]]+Payroll_Data_Analysis[[#This Row],[Payroll Taxes (Salary)]]</f>
        <v>786255.97959044366</v>
      </c>
      <c r="W110" s="13">
        <f>Payroll_Data_Analysis[[#This Row],[Total Payroll]]+Payroll_Data_Analysis[[#This Row],[Total Payroll Taxes]]</f>
        <v>3389752.6007508533</v>
      </c>
    </row>
    <row r="111" spans="1:23">
      <c r="A111" s="11" t="s">
        <v>652</v>
      </c>
      <c r="B111" s="5" t="s">
        <v>114</v>
      </c>
      <c r="C111" s="5" t="s">
        <v>709</v>
      </c>
      <c r="D111" s="28" t="str">
        <f>VLOOKUP(Payroll_Data_Analysis[[#This Row],[Position]],Position_Map!$A$2:$B$58,2,FALSE)</f>
        <v>Engineering</v>
      </c>
      <c r="E111" s="6">
        <v>1</v>
      </c>
      <c r="F111" s="7">
        <v>148000</v>
      </c>
      <c r="G111" s="7">
        <v>100000</v>
      </c>
      <c r="H111" s="7"/>
      <c r="I111" s="7">
        <f>dataset!$F111-dataset!$J111-dataset!$G111-dataset!$H111</f>
        <v>40000</v>
      </c>
      <c r="J111" s="7">
        <f>dataset!$G111*0.08</f>
        <v>8000</v>
      </c>
      <c r="K111" s="7">
        <f>dataset!$F111*12</f>
        <v>1776000</v>
      </c>
      <c r="L111" s="12">
        <f>IF(dataset!$G111&gt;=200000,38%,IF(dataset!$G111&lt;=145000,12.3%,))</f>
        <v>0.12300000000000001</v>
      </c>
      <c r="M111" s="7">
        <f>dataset!$G111*L112*12</f>
        <v>147600.00000000003</v>
      </c>
      <c r="N11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11" s="7">
        <f>dataset!$K111+dataset!$M111</f>
        <v>1923600</v>
      </c>
      <c r="P111" s="7">
        <f>Payroll_Data_Analysis[[#This Row],[Annual Salary + KPI Bonus]]/12/29.3*31</f>
        <v>169600.68259385665</v>
      </c>
      <c r="Q111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111" s="7">
        <f>Payroll_Data_Analysis[[#This Row],[Monthly Salary]]*11</f>
        <v>1628000</v>
      </c>
      <c r="S111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111" s="7">
        <f>IF(Payroll_Data_Analysis[[#This Row],[Base Salary (Monthly)]]&gt;=200000,69507,IF(Payroll_Data_Analysis[[#This Row],[Base Salary (Monthly)]]&gt;=145000,52684,35103))</f>
        <v>35103</v>
      </c>
      <c r="U111" s="7">
        <f>Payroll_Data_Analysis[[#This Row],[Annual KPI Bonus Reserve]]+Payroll_Data_Analysis[[#This Row],[Vacation Reserve]]+Payroll_Data_Analysis[[#This Row],[11-Month Salary]]</f>
        <v>1945200.6825938567</v>
      </c>
      <c r="V111" s="7">
        <f>Payroll_Data_Analysis[[#This Row],[Payroll Taxes (KPI Bonus)]]+Payroll_Data_Analysis[[#This Row],[Payroll Taxes (Vacation)]]+Payroll_Data_Analysis[[#This Row],[Payroll Taxes (Salary)]]</f>
        <v>587450.60614334466</v>
      </c>
      <c r="W111" s="13">
        <f>Payroll_Data_Analysis[[#This Row],[Total Payroll]]+Payroll_Data_Analysis[[#This Row],[Total Payroll Taxes]]</f>
        <v>2532651.2887372011</v>
      </c>
    </row>
    <row r="112" spans="1:23">
      <c r="A112" s="11" t="s">
        <v>652</v>
      </c>
      <c r="B112" s="5" t="s">
        <v>115</v>
      </c>
      <c r="C112" s="5" t="s">
        <v>705</v>
      </c>
      <c r="D112" s="28" t="str">
        <f>VLOOKUP(Payroll_Data_Analysis[[#This Row],[Position]],Position_Map!$A$2:$B$58,2,FALSE)</f>
        <v>Professional</v>
      </c>
      <c r="E112" s="6">
        <v>1</v>
      </c>
      <c r="F112" s="7">
        <v>138000</v>
      </c>
      <c r="G112" s="7">
        <v>100000</v>
      </c>
      <c r="H112" s="7"/>
      <c r="I112" s="7">
        <f>dataset!$F112-dataset!$J112-dataset!$G112-dataset!$H112</f>
        <v>30000</v>
      </c>
      <c r="J112" s="7">
        <f>dataset!$G112*0.08</f>
        <v>8000</v>
      </c>
      <c r="K112" s="7">
        <f>dataset!$F112*12</f>
        <v>1656000</v>
      </c>
      <c r="L112" s="12">
        <f>IF(dataset!$G112&gt;=200000,38%,IF(dataset!$G112&lt;=145000,12.3%,))</f>
        <v>0.12300000000000001</v>
      </c>
      <c r="M112" s="7">
        <f>dataset!$G112*L113*12</f>
        <v>147600.00000000003</v>
      </c>
      <c r="N11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12" s="7">
        <f>dataset!$K112+dataset!$M112</f>
        <v>1803600</v>
      </c>
      <c r="P112" s="7">
        <f>Payroll_Data_Analysis[[#This Row],[Annual Salary + KPI Bonus]]/12/29.3*31</f>
        <v>159020.47781569965</v>
      </c>
      <c r="Q112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112" s="7">
        <f>Payroll_Data_Analysis[[#This Row],[Monthly Salary]]*11</f>
        <v>1518000</v>
      </c>
      <c r="S112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112" s="7">
        <f>IF(Payroll_Data_Analysis[[#This Row],[Base Salary (Monthly)]]&gt;=200000,69507,IF(Payroll_Data_Analysis[[#This Row],[Base Salary (Monthly)]]&gt;=145000,52684,35103))</f>
        <v>35103</v>
      </c>
      <c r="U112" s="7">
        <f>Payroll_Data_Analysis[[#This Row],[Annual KPI Bonus Reserve]]+Payroll_Data_Analysis[[#This Row],[Vacation Reserve]]+Payroll_Data_Analysis[[#This Row],[11-Month Salary]]</f>
        <v>1824620.4778156998</v>
      </c>
      <c r="V112" s="7">
        <f>Payroll_Data_Analysis[[#This Row],[Payroll Taxes (KPI Bonus)]]+Payroll_Data_Analysis[[#This Row],[Payroll Taxes (Vacation)]]+Payroll_Data_Analysis[[#This Row],[Payroll Taxes (Salary)]]</f>
        <v>551035.38430034136</v>
      </c>
      <c r="W112" s="13">
        <f>Payroll_Data_Analysis[[#This Row],[Total Payroll]]+Payroll_Data_Analysis[[#This Row],[Total Payroll Taxes]]</f>
        <v>2375655.8621160411</v>
      </c>
    </row>
    <row r="113" spans="1:23">
      <c r="A113" s="11" t="s">
        <v>652</v>
      </c>
      <c r="B113" s="5" t="s">
        <v>116</v>
      </c>
      <c r="C113" s="5" t="s">
        <v>705</v>
      </c>
      <c r="D113" s="28" t="str">
        <f>VLOOKUP(Payroll_Data_Analysis[[#This Row],[Position]],Position_Map!$A$2:$B$58,2,FALSE)</f>
        <v>Professional</v>
      </c>
      <c r="E113" s="6">
        <v>1</v>
      </c>
      <c r="F113" s="7">
        <v>59000</v>
      </c>
      <c r="G113" s="7">
        <v>50000</v>
      </c>
      <c r="H113" s="7"/>
      <c r="I113" s="7">
        <f>dataset!$F113-dataset!$J113-dataset!$G113-dataset!$H113</f>
        <v>5000</v>
      </c>
      <c r="J113" s="7">
        <f>dataset!$G113*0.08</f>
        <v>4000</v>
      </c>
      <c r="K113" s="7">
        <f>dataset!$F113*12</f>
        <v>708000</v>
      </c>
      <c r="L113" s="12">
        <f>IF(dataset!$G113&gt;=200000,38%,IF(dataset!$G113&lt;=145000,12.3%,))</f>
        <v>0.12300000000000001</v>
      </c>
      <c r="M113" s="7">
        <f>dataset!$G113*L114*12</f>
        <v>73800.000000000015</v>
      </c>
      <c r="N113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13" s="7">
        <f>dataset!$K113+dataset!$M113</f>
        <v>781800</v>
      </c>
      <c r="P113" s="7">
        <f>Payroll_Data_Analysis[[#This Row],[Annual Salary + KPI Bonus]]/12/29.3*31</f>
        <v>68930.034129692838</v>
      </c>
      <c r="Q113" s="7">
        <f>IF(Payroll_Data_Analysis[[#This Row],[Vacation Reserve]]&lt;=2979000,Payroll_Data_Analysis[[#This Row],[Vacation Reserve]]*0.302,2979000*0.302+(Payroll_Data_Analysis[[#This Row],[Vacation Reserve]]-2979000)*0.151)</f>
        <v>20816.870307167235</v>
      </c>
      <c r="R113" s="7">
        <f>Payroll_Data_Analysis[[#This Row],[Monthly Salary]]*11</f>
        <v>649000</v>
      </c>
      <c r="S113" s="7">
        <f>IF(Payroll_Data_Analysis[[#This Row],[11-Month Salary]]&lt;=2979000,Payroll_Data_Analysis[[#This Row],[11-Month Salary]]*0.302,2979000*0.302+(Payroll_Data_Analysis[[#This Row],[11-Month Salary]]-2979000)*0.151)</f>
        <v>195998</v>
      </c>
      <c r="T113" s="7">
        <f>IF(Payroll_Data_Analysis[[#This Row],[Base Salary (Monthly)]]&gt;=200000,69507,IF(Payroll_Data_Analysis[[#This Row],[Base Salary (Monthly)]]&gt;=145000,52684,35103))</f>
        <v>35103</v>
      </c>
      <c r="U113" s="7">
        <f>Payroll_Data_Analysis[[#This Row],[Annual KPI Bonus Reserve]]+Payroll_Data_Analysis[[#This Row],[Vacation Reserve]]+Payroll_Data_Analysis[[#This Row],[11-Month Salary]]</f>
        <v>791730.03412969282</v>
      </c>
      <c r="V113" s="7">
        <f>Payroll_Data_Analysis[[#This Row],[Payroll Taxes (KPI Bonus)]]+Payroll_Data_Analysis[[#This Row],[Payroll Taxes (Vacation)]]+Payroll_Data_Analysis[[#This Row],[Payroll Taxes (Salary)]]</f>
        <v>239102.47030716724</v>
      </c>
      <c r="W113" s="13">
        <f>Payroll_Data_Analysis[[#This Row],[Total Payroll]]+Payroll_Data_Analysis[[#This Row],[Total Payroll Taxes]]</f>
        <v>1030832.5044368601</v>
      </c>
    </row>
    <row r="114" spans="1:23">
      <c r="A114" s="11" t="s">
        <v>652</v>
      </c>
      <c r="B114" s="5" t="s">
        <v>117</v>
      </c>
      <c r="C114" s="5" t="s">
        <v>705</v>
      </c>
      <c r="D114" s="28" t="str">
        <f>VLOOKUP(Payroll_Data_Analysis[[#This Row],[Position]],Position_Map!$A$2:$B$58,2,FALSE)</f>
        <v>Professional</v>
      </c>
      <c r="E114" s="6">
        <v>1</v>
      </c>
      <c r="F114" s="7">
        <v>59000</v>
      </c>
      <c r="G114" s="7">
        <v>50000</v>
      </c>
      <c r="H114" s="7"/>
      <c r="I114" s="7">
        <f>dataset!$F114-dataset!$J114-dataset!$G114-dataset!$H114</f>
        <v>5000</v>
      </c>
      <c r="J114" s="7">
        <f>dataset!$G114*0.08</f>
        <v>4000</v>
      </c>
      <c r="K114" s="7">
        <f>dataset!$F114*12</f>
        <v>708000</v>
      </c>
      <c r="L114" s="12">
        <f>IF(dataset!$G114&gt;=200000,38%,IF(dataset!$G114&lt;=145000,12.3%,))</f>
        <v>0.12300000000000001</v>
      </c>
      <c r="M114" s="7">
        <f>dataset!$G114*L115*12</f>
        <v>73800.000000000015</v>
      </c>
      <c r="N114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14" s="7">
        <f>dataset!$K114+dataset!$M114</f>
        <v>781800</v>
      </c>
      <c r="P114" s="7">
        <f>Payroll_Data_Analysis[[#This Row],[Annual Salary + KPI Bonus]]/12/29.3*31</f>
        <v>68930.034129692838</v>
      </c>
      <c r="Q114" s="7">
        <f>IF(Payroll_Data_Analysis[[#This Row],[Vacation Reserve]]&lt;=2979000,Payroll_Data_Analysis[[#This Row],[Vacation Reserve]]*0.302,2979000*0.302+(Payroll_Data_Analysis[[#This Row],[Vacation Reserve]]-2979000)*0.151)</f>
        <v>20816.870307167235</v>
      </c>
      <c r="R114" s="7">
        <f>Payroll_Data_Analysis[[#This Row],[Monthly Salary]]*11</f>
        <v>649000</v>
      </c>
      <c r="S114" s="7">
        <f>IF(Payroll_Data_Analysis[[#This Row],[11-Month Salary]]&lt;=2979000,Payroll_Data_Analysis[[#This Row],[11-Month Salary]]*0.302,2979000*0.302+(Payroll_Data_Analysis[[#This Row],[11-Month Salary]]-2979000)*0.151)</f>
        <v>195998</v>
      </c>
      <c r="T114" s="7">
        <f>IF(Payroll_Data_Analysis[[#This Row],[Base Salary (Monthly)]]&gt;=200000,69507,IF(Payroll_Data_Analysis[[#This Row],[Base Salary (Monthly)]]&gt;=145000,52684,35103))</f>
        <v>35103</v>
      </c>
      <c r="U114" s="7">
        <f>Payroll_Data_Analysis[[#This Row],[Annual KPI Bonus Reserve]]+Payroll_Data_Analysis[[#This Row],[Vacation Reserve]]+Payroll_Data_Analysis[[#This Row],[11-Month Salary]]</f>
        <v>791730.03412969282</v>
      </c>
      <c r="V114" s="7">
        <f>Payroll_Data_Analysis[[#This Row],[Payroll Taxes (KPI Bonus)]]+Payroll_Data_Analysis[[#This Row],[Payroll Taxes (Vacation)]]+Payroll_Data_Analysis[[#This Row],[Payroll Taxes (Salary)]]</f>
        <v>239102.47030716724</v>
      </c>
      <c r="W114" s="13">
        <f>Payroll_Data_Analysis[[#This Row],[Total Payroll]]+Payroll_Data_Analysis[[#This Row],[Total Payroll Taxes]]</f>
        <v>1030832.5044368601</v>
      </c>
    </row>
    <row r="115" spans="1:23">
      <c r="A115" s="11" t="s">
        <v>652</v>
      </c>
      <c r="B115" s="5" t="s">
        <v>118</v>
      </c>
      <c r="C115" s="5" t="s">
        <v>718</v>
      </c>
      <c r="D115" s="28" t="str">
        <f>VLOOKUP(Payroll_Data_Analysis[[#This Row],[Position]],Position_Map!$A$2:$B$58,2,FALSE)</f>
        <v>Technical</v>
      </c>
      <c r="E115" s="6">
        <v>1</v>
      </c>
      <c r="F115" s="7">
        <v>96400</v>
      </c>
      <c r="G115" s="7">
        <v>80000</v>
      </c>
      <c r="H115" s="7"/>
      <c r="I115" s="7">
        <f>dataset!$F115-dataset!$J115-dataset!$G115-dataset!$H115</f>
        <v>10000</v>
      </c>
      <c r="J115" s="7">
        <f>dataset!$G115*0.08</f>
        <v>6400</v>
      </c>
      <c r="K115" s="7">
        <f>dataset!$F115*12</f>
        <v>1156800</v>
      </c>
      <c r="L115" s="12">
        <f>IF(dataset!$G115&gt;=200000,38%,IF(dataset!$G115&lt;=145000,12.3%,))</f>
        <v>0.12300000000000001</v>
      </c>
      <c r="M115" s="7">
        <f>dataset!$G115*L116*12</f>
        <v>118080.00000000003</v>
      </c>
      <c r="N11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15" s="7">
        <f>dataset!$K115+dataset!$M115</f>
        <v>1274880</v>
      </c>
      <c r="P115" s="7">
        <f>Payroll_Data_Analysis[[#This Row],[Annual Salary + KPI Bonus]]/12/29.3*31</f>
        <v>112404.09556313993</v>
      </c>
      <c r="Q115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15" s="7">
        <f>Payroll_Data_Analysis[[#This Row],[Monthly Salary]]*11</f>
        <v>1060400</v>
      </c>
      <c r="S115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15" s="7">
        <f>IF(Payroll_Data_Analysis[[#This Row],[Base Salary (Monthly)]]&gt;=200000,69507,IF(Payroll_Data_Analysis[[#This Row],[Base Salary (Monthly)]]&gt;=145000,52684,35103))</f>
        <v>35103</v>
      </c>
      <c r="U115" s="7">
        <f>Payroll_Data_Analysis[[#This Row],[Annual KPI Bonus Reserve]]+Payroll_Data_Analysis[[#This Row],[Vacation Reserve]]+Payroll_Data_Analysis[[#This Row],[11-Month Salary]]</f>
        <v>1290884.09556314</v>
      </c>
      <c r="V115" s="7">
        <f>Payroll_Data_Analysis[[#This Row],[Payroll Taxes (KPI Bonus)]]+Payroll_Data_Analysis[[#This Row],[Payroll Taxes (Vacation)]]+Payroll_Data_Analysis[[#This Row],[Payroll Taxes (Salary)]]</f>
        <v>389846.99686006829</v>
      </c>
      <c r="W115" s="13">
        <f>Payroll_Data_Analysis[[#This Row],[Total Payroll]]+Payroll_Data_Analysis[[#This Row],[Total Payroll Taxes]]</f>
        <v>1680731.0924232083</v>
      </c>
    </row>
    <row r="116" spans="1:23">
      <c r="A116" s="11" t="s">
        <v>652</v>
      </c>
      <c r="B116" s="5" t="s">
        <v>119</v>
      </c>
      <c r="C116" s="5" t="s">
        <v>718</v>
      </c>
      <c r="D116" s="28" t="str">
        <f>VLOOKUP(Payroll_Data_Analysis[[#This Row],[Position]],Position_Map!$A$2:$B$58,2,FALSE)</f>
        <v>Technical</v>
      </c>
      <c r="E116" s="6">
        <v>1</v>
      </c>
      <c r="F116" s="7">
        <v>126400</v>
      </c>
      <c r="G116" s="7">
        <v>80000</v>
      </c>
      <c r="H116" s="7"/>
      <c r="I116" s="7">
        <f>dataset!$F116-dataset!$J116-dataset!$G116-dataset!$H116</f>
        <v>40000</v>
      </c>
      <c r="J116" s="7">
        <f>dataset!$G116*0.08</f>
        <v>6400</v>
      </c>
      <c r="K116" s="7">
        <f>dataset!$F116*12</f>
        <v>1516800</v>
      </c>
      <c r="L116" s="12">
        <f>IF(dataset!$G116&gt;=200000,38%,IF(dataset!$G116&lt;=145000,12.3%,))</f>
        <v>0.12300000000000001</v>
      </c>
      <c r="M116" s="7">
        <f>dataset!$G116*L117*12</f>
        <v>118080.00000000003</v>
      </c>
      <c r="N11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16" s="7">
        <f>dataset!$K116+dataset!$M116</f>
        <v>1634880</v>
      </c>
      <c r="P116" s="7">
        <f>Payroll_Data_Analysis[[#This Row],[Annual Salary + KPI Bonus]]/12/29.3*31</f>
        <v>144144.70989761094</v>
      </c>
      <c r="Q116" s="7">
        <f>IF(Payroll_Data_Analysis[[#This Row],[Vacation Reserve]]&lt;=2979000,Payroll_Data_Analysis[[#This Row],[Vacation Reserve]]*0.302,2979000*0.302+(Payroll_Data_Analysis[[#This Row],[Vacation Reserve]]-2979000)*0.151)</f>
        <v>43531.702389078506</v>
      </c>
      <c r="R116" s="7">
        <f>Payroll_Data_Analysis[[#This Row],[Monthly Salary]]*11</f>
        <v>1390400</v>
      </c>
      <c r="S116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116" s="7">
        <f>IF(Payroll_Data_Analysis[[#This Row],[Base Salary (Monthly)]]&gt;=200000,69507,IF(Payroll_Data_Analysis[[#This Row],[Base Salary (Monthly)]]&gt;=145000,52684,35103))</f>
        <v>35103</v>
      </c>
      <c r="U116" s="7">
        <f>Payroll_Data_Analysis[[#This Row],[Annual KPI Bonus Reserve]]+Payroll_Data_Analysis[[#This Row],[Vacation Reserve]]+Payroll_Data_Analysis[[#This Row],[11-Month Salary]]</f>
        <v>1652624.7098976108</v>
      </c>
      <c r="V116" s="7">
        <f>Payroll_Data_Analysis[[#This Row],[Payroll Taxes (KPI Bonus)]]+Payroll_Data_Analysis[[#This Row],[Payroll Taxes (Vacation)]]+Payroll_Data_Analysis[[#This Row],[Payroll Taxes (Salary)]]</f>
        <v>499092.66238907853</v>
      </c>
      <c r="W116" s="13">
        <f>Payroll_Data_Analysis[[#This Row],[Total Payroll]]+Payroll_Data_Analysis[[#This Row],[Total Payroll Taxes]]</f>
        <v>2151717.3722866895</v>
      </c>
    </row>
    <row r="117" spans="1:23">
      <c r="A117" s="11" t="s">
        <v>652</v>
      </c>
      <c r="B117" s="5" t="s">
        <v>120</v>
      </c>
      <c r="C117" s="5" t="s">
        <v>718</v>
      </c>
      <c r="D117" s="28" t="str">
        <f>VLOOKUP(Payroll_Data_Analysis[[#This Row],[Position]],Position_Map!$A$2:$B$58,2,FALSE)</f>
        <v>Technical</v>
      </c>
      <c r="E117" s="6">
        <v>1</v>
      </c>
      <c r="F117" s="7">
        <v>76000</v>
      </c>
      <c r="G117" s="7">
        <v>60000</v>
      </c>
      <c r="H117" s="7"/>
      <c r="I117" s="7">
        <f>dataset!$F117-dataset!$J117-dataset!$G117-dataset!$H117</f>
        <v>11200</v>
      </c>
      <c r="J117" s="7">
        <f>dataset!$G117*0.08</f>
        <v>4800</v>
      </c>
      <c r="K117" s="7">
        <f>dataset!$F117*12</f>
        <v>912000</v>
      </c>
      <c r="L117" s="12">
        <f>IF(dataset!$G117&gt;=200000,38%,IF(dataset!$G117&lt;=145000,12.3%,))</f>
        <v>0.12300000000000001</v>
      </c>
      <c r="M117" s="7">
        <f>dataset!$G117*L118*12</f>
        <v>88560.000000000015</v>
      </c>
      <c r="N11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17" s="7">
        <f>dataset!$K117+dataset!$M117</f>
        <v>1000560</v>
      </c>
      <c r="P117" s="7">
        <f>Payroll_Data_Analysis[[#This Row],[Annual Salary + KPI Bonus]]/12/29.3*31</f>
        <v>88217.747440273029</v>
      </c>
      <c r="Q117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17" s="7">
        <f>Payroll_Data_Analysis[[#This Row],[Monthly Salary]]*11</f>
        <v>836000</v>
      </c>
      <c r="S117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17" s="7">
        <f>IF(Payroll_Data_Analysis[[#This Row],[Base Salary (Monthly)]]&gt;=200000,69507,IF(Payroll_Data_Analysis[[#This Row],[Base Salary (Monthly)]]&gt;=145000,52684,35103))</f>
        <v>35103</v>
      </c>
      <c r="U117" s="7">
        <f>Payroll_Data_Analysis[[#This Row],[Annual KPI Bonus Reserve]]+Payroll_Data_Analysis[[#This Row],[Vacation Reserve]]+Payroll_Data_Analysis[[#This Row],[11-Month Salary]]</f>
        <v>1012777.7474402731</v>
      </c>
      <c r="V117" s="7">
        <f>Payroll_Data_Analysis[[#This Row],[Payroll Taxes (KPI Bonus)]]+Payroll_Data_Analysis[[#This Row],[Payroll Taxes (Vacation)]]+Payroll_Data_Analysis[[#This Row],[Payroll Taxes (Salary)]]</f>
        <v>305858.87972696248</v>
      </c>
      <c r="W117" s="13">
        <f>Payroll_Data_Analysis[[#This Row],[Total Payroll]]+Payroll_Data_Analysis[[#This Row],[Total Payroll Taxes]]</f>
        <v>1318636.6271672356</v>
      </c>
    </row>
    <row r="118" spans="1:23">
      <c r="A118" s="11" t="s">
        <v>652</v>
      </c>
      <c r="B118" s="5" t="s">
        <v>121</v>
      </c>
      <c r="C118" s="5" t="s">
        <v>718</v>
      </c>
      <c r="D118" s="28" t="str">
        <f>VLOOKUP(Payroll_Data_Analysis[[#This Row],[Position]],Position_Map!$A$2:$B$58,2,FALSE)</f>
        <v>Technical</v>
      </c>
      <c r="E118" s="6">
        <v>1</v>
      </c>
      <c r="F118" s="7">
        <v>76000</v>
      </c>
      <c r="G118" s="7">
        <v>60000</v>
      </c>
      <c r="H118" s="7"/>
      <c r="I118" s="7">
        <f>dataset!$F118-dataset!$J118-dataset!$G118-dataset!$H118</f>
        <v>11200</v>
      </c>
      <c r="J118" s="7">
        <f>dataset!$G118*0.08</f>
        <v>4800</v>
      </c>
      <c r="K118" s="7">
        <f>dataset!$F118*12</f>
        <v>912000</v>
      </c>
      <c r="L118" s="12">
        <f>IF(dataset!$G118&gt;=200000,38%,IF(dataset!$G118&lt;=145000,12.3%,))</f>
        <v>0.12300000000000001</v>
      </c>
      <c r="M118" s="7">
        <f>dataset!$G118*L119*12</f>
        <v>88560.000000000015</v>
      </c>
      <c r="N11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18" s="7">
        <f>dataset!$K118+dataset!$M118</f>
        <v>1000560</v>
      </c>
      <c r="P118" s="7">
        <f>Payroll_Data_Analysis[[#This Row],[Annual Salary + KPI Bonus]]/12/29.3*31</f>
        <v>88217.747440273029</v>
      </c>
      <c r="Q118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18" s="7">
        <f>Payroll_Data_Analysis[[#This Row],[Monthly Salary]]*11</f>
        <v>836000</v>
      </c>
      <c r="S118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18" s="7">
        <f>IF(Payroll_Data_Analysis[[#This Row],[Base Salary (Monthly)]]&gt;=200000,69507,IF(Payroll_Data_Analysis[[#This Row],[Base Salary (Monthly)]]&gt;=145000,52684,35103))</f>
        <v>35103</v>
      </c>
      <c r="U118" s="7">
        <f>Payroll_Data_Analysis[[#This Row],[Annual KPI Bonus Reserve]]+Payroll_Data_Analysis[[#This Row],[Vacation Reserve]]+Payroll_Data_Analysis[[#This Row],[11-Month Salary]]</f>
        <v>1012777.7474402731</v>
      </c>
      <c r="V118" s="7">
        <f>Payroll_Data_Analysis[[#This Row],[Payroll Taxes (KPI Bonus)]]+Payroll_Data_Analysis[[#This Row],[Payroll Taxes (Vacation)]]+Payroll_Data_Analysis[[#This Row],[Payroll Taxes (Salary)]]</f>
        <v>305858.87972696248</v>
      </c>
      <c r="W118" s="13">
        <f>Payroll_Data_Analysis[[#This Row],[Total Payroll]]+Payroll_Data_Analysis[[#This Row],[Total Payroll Taxes]]</f>
        <v>1318636.6271672356</v>
      </c>
    </row>
    <row r="119" spans="1:23">
      <c r="A119" s="11" t="s">
        <v>652</v>
      </c>
      <c r="B119" s="5" t="s">
        <v>122</v>
      </c>
      <c r="C119" s="5" t="s">
        <v>718</v>
      </c>
      <c r="D119" s="28" t="str">
        <f>VLOOKUP(Payroll_Data_Analysis[[#This Row],[Position]],Position_Map!$A$2:$B$58,2,FALSE)</f>
        <v>Technical</v>
      </c>
      <c r="E119" s="6">
        <v>1</v>
      </c>
      <c r="F119" s="7">
        <v>76000</v>
      </c>
      <c r="G119" s="7">
        <v>60000</v>
      </c>
      <c r="H119" s="7"/>
      <c r="I119" s="7">
        <f>dataset!$F119-dataset!$J119-dataset!$G119-dataset!$H119</f>
        <v>11200</v>
      </c>
      <c r="J119" s="7">
        <f>dataset!$G119*0.08</f>
        <v>4800</v>
      </c>
      <c r="K119" s="7">
        <f>dataset!$F119*12</f>
        <v>912000</v>
      </c>
      <c r="L119" s="12">
        <f>IF(dataset!$G119&gt;=200000,38%,IF(dataset!$G119&lt;=145000,12.3%,))</f>
        <v>0.12300000000000001</v>
      </c>
      <c r="M119" s="7">
        <f>dataset!$G119*L120*12</f>
        <v>88560.000000000015</v>
      </c>
      <c r="N11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19" s="7">
        <f>dataset!$K119+dataset!$M119</f>
        <v>1000560</v>
      </c>
      <c r="P119" s="7">
        <f>Payroll_Data_Analysis[[#This Row],[Annual Salary + KPI Bonus]]/12/29.3*31</f>
        <v>88217.747440273029</v>
      </c>
      <c r="Q119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19" s="7">
        <f>Payroll_Data_Analysis[[#This Row],[Monthly Salary]]*11</f>
        <v>836000</v>
      </c>
      <c r="S119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19" s="7">
        <f>IF(Payroll_Data_Analysis[[#This Row],[Base Salary (Monthly)]]&gt;=200000,69507,IF(Payroll_Data_Analysis[[#This Row],[Base Salary (Monthly)]]&gt;=145000,52684,35103))</f>
        <v>35103</v>
      </c>
      <c r="U119" s="7">
        <f>Payroll_Data_Analysis[[#This Row],[Annual KPI Bonus Reserve]]+Payroll_Data_Analysis[[#This Row],[Vacation Reserve]]+Payroll_Data_Analysis[[#This Row],[11-Month Salary]]</f>
        <v>1012777.7474402731</v>
      </c>
      <c r="V119" s="7">
        <f>Payroll_Data_Analysis[[#This Row],[Payroll Taxes (KPI Bonus)]]+Payroll_Data_Analysis[[#This Row],[Payroll Taxes (Vacation)]]+Payroll_Data_Analysis[[#This Row],[Payroll Taxes (Salary)]]</f>
        <v>305858.87972696248</v>
      </c>
      <c r="W119" s="13">
        <f>Payroll_Data_Analysis[[#This Row],[Total Payroll]]+Payroll_Data_Analysis[[#This Row],[Total Payroll Taxes]]</f>
        <v>1318636.6271672356</v>
      </c>
    </row>
    <row r="120" spans="1:23">
      <c r="A120" s="11" t="s">
        <v>652</v>
      </c>
      <c r="B120" s="5" t="s">
        <v>123</v>
      </c>
      <c r="C120" s="5" t="s">
        <v>718</v>
      </c>
      <c r="D120" s="28" t="str">
        <f>VLOOKUP(Payroll_Data_Analysis[[#This Row],[Position]],Position_Map!$A$2:$B$58,2,FALSE)</f>
        <v>Technical</v>
      </c>
      <c r="E120" s="6">
        <v>1</v>
      </c>
      <c r="F120" s="7">
        <v>76000</v>
      </c>
      <c r="G120" s="7">
        <v>60000</v>
      </c>
      <c r="H120" s="7"/>
      <c r="I120" s="7">
        <f>dataset!$F120-dataset!$J120-dataset!$G120-dataset!$H120</f>
        <v>11200</v>
      </c>
      <c r="J120" s="7">
        <f>dataset!$G120*0.08</f>
        <v>4800</v>
      </c>
      <c r="K120" s="7">
        <f>dataset!$F120*12</f>
        <v>912000</v>
      </c>
      <c r="L120" s="12">
        <f>IF(dataset!$G120&gt;=200000,38%,IF(dataset!$G120&lt;=145000,12.3%,))</f>
        <v>0.12300000000000001</v>
      </c>
      <c r="M120" s="7">
        <f>dataset!$G120*L121*12</f>
        <v>88560.000000000015</v>
      </c>
      <c r="N12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0" s="7">
        <f>dataset!$K120+dataset!$M120</f>
        <v>1000560</v>
      </c>
      <c r="P120" s="7">
        <f>Payroll_Data_Analysis[[#This Row],[Annual Salary + KPI Bonus]]/12/29.3*31</f>
        <v>88217.747440273029</v>
      </c>
      <c r="Q120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20" s="7">
        <f>Payroll_Data_Analysis[[#This Row],[Monthly Salary]]*11</f>
        <v>836000</v>
      </c>
      <c r="S120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20" s="7">
        <f>IF(Payroll_Data_Analysis[[#This Row],[Base Salary (Monthly)]]&gt;=200000,69507,IF(Payroll_Data_Analysis[[#This Row],[Base Salary (Monthly)]]&gt;=145000,52684,35103))</f>
        <v>35103</v>
      </c>
      <c r="U120" s="7">
        <f>Payroll_Data_Analysis[[#This Row],[Annual KPI Bonus Reserve]]+Payroll_Data_Analysis[[#This Row],[Vacation Reserve]]+Payroll_Data_Analysis[[#This Row],[11-Month Salary]]</f>
        <v>1012777.7474402731</v>
      </c>
      <c r="V120" s="7">
        <f>Payroll_Data_Analysis[[#This Row],[Payroll Taxes (KPI Bonus)]]+Payroll_Data_Analysis[[#This Row],[Payroll Taxes (Vacation)]]+Payroll_Data_Analysis[[#This Row],[Payroll Taxes (Salary)]]</f>
        <v>305858.87972696248</v>
      </c>
      <c r="W120" s="13">
        <f>Payroll_Data_Analysis[[#This Row],[Total Payroll]]+Payroll_Data_Analysis[[#This Row],[Total Payroll Taxes]]</f>
        <v>1318636.6271672356</v>
      </c>
    </row>
    <row r="121" spans="1:23">
      <c r="A121" s="11" t="s">
        <v>652</v>
      </c>
      <c r="B121" s="5" t="s">
        <v>124</v>
      </c>
      <c r="C121" s="5" t="s">
        <v>718</v>
      </c>
      <c r="D121" s="28" t="str">
        <f>VLOOKUP(Payroll_Data_Analysis[[#This Row],[Position]],Position_Map!$A$2:$B$58,2,FALSE)</f>
        <v>Technical</v>
      </c>
      <c r="E121" s="6">
        <v>1</v>
      </c>
      <c r="F121" s="7">
        <v>76000</v>
      </c>
      <c r="G121" s="7">
        <v>60000</v>
      </c>
      <c r="H121" s="7"/>
      <c r="I121" s="7">
        <f>dataset!$F121-dataset!$J121-dataset!$G121-dataset!$H121</f>
        <v>11200</v>
      </c>
      <c r="J121" s="7">
        <f>dataset!$G121*0.08</f>
        <v>4800</v>
      </c>
      <c r="K121" s="7">
        <f>dataset!$F121*12</f>
        <v>912000</v>
      </c>
      <c r="L121" s="12">
        <f>IF(dataset!$G121&gt;=200000,38%,IF(dataset!$G121&lt;=145000,12.3%,))</f>
        <v>0.12300000000000001</v>
      </c>
      <c r="M121" s="7">
        <f>dataset!$G121*L122*12</f>
        <v>88560.000000000015</v>
      </c>
      <c r="N12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1" s="7">
        <f>dataset!$K121+dataset!$M121</f>
        <v>1000560</v>
      </c>
      <c r="P121" s="7">
        <f>Payroll_Data_Analysis[[#This Row],[Annual Salary + KPI Bonus]]/12/29.3*31</f>
        <v>88217.747440273029</v>
      </c>
      <c r="Q121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21" s="7">
        <f>Payroll_Data_Analysis[[#This Row],[Monthly Salary]]*11</f>
        <v>836000</v>
      </c>
      <c r="S121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21" s="7">
        <f>IF(Payroll_Data_Analysis[[#This Row],[Base Salary (Monthly)]]&gt;=200000,69507,IF(Payroll_Data_Analysis[[#This Row],[Base Salary (Monthly)]]&gt;=145000,52684,35103))</f>
        <v>35103</v>
      </c>
      <c r="U121" s="7">
        <f>Payroll_Data_Analysis[[#This Row],[Annual KPI Bonus Reserve]]+Payroll_Data_Analysis[[#This Row],[Vacation Reserve]]+Payroll_Data_Analysis[[#This Row],[11-Month Salary]]</f>
        <v>1012777.7474402731</v>
      </c>
      <c r="V121" s="7">
        <f>Payroll_Data_Analysis[[#This Row],[Payroll Taxes (KPI Bonus)]]+Payroll_Data_Analysis[[#This Row],[Payroll Taxes (Vacation)]]+Payroll_Data_Analysis[[#This Row],[Payroll Taxes (Salary)]]</f>
        <v>305858.87972696248</v>
      </c>
      <c r="W121" s="13">
        <f>Payroll_Data_Analysis[[#This Row],[Total Payroll]]+Payroll_Data_Analysis[[#This Row],[Total Payroll Taxes]]</f>
        <v>1318636.6271672356</v>
      </c>
    </row>
    <row r="122" spans="1:23">
      <c r="A122" s="11" t="s">
        <v>652</v>
      </c>
      <c r="B122" s="5" t="s">
        <v>125</v>
      </c>
      <c r="C122" s="5" t="s">
        <v>718</v>
      </c>
      <c r="D122" s="28" t="str">
        <f>VLOOKUP(Payroll_Data_Analysis[[#This Row],[Position]],Position_Map!$A$2:$B$58,2,FALSE)</f>
        <v>Technical</v>
      </c>
      <c r="E122" s="6">
        <v>1</v>
      </c>
      <c r="F122" s="7">
        <v>76000</v>
      </c>
      <c r="G122" s="7">
        <v>60000</v>
      </c>
      <c r="H122" s="7"/>
      <c r="I122" s="7">
        <f>dataset!$F122-dataset!$J122-dataset!$G122-dataset!$H122</f>
        <v>11200</v>
      </c>
      <c r="J122" s="7">
        <f>dataset!$G122*0.08</f>
        <v>4800</v>
      </c>
      <c r="K122" s="7">
        <f>dataset!$F122*12</f>
        <v>912000</v>
      </c>
      <c r="L122" s="12">
        <f>IF(dataset!$G122&gt;=200000,38%,IF(dataset!$G122&lt;=145000,12.3%,))</f>
        <v>0.12300000000000001</v>
      </c>
      <c r="M122" s="7">
        <f>dataset!$G122*L123*12</f>
        <v>88560.000000000015</v>
      </c>
      <c r="N12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2" s="7">
        <f>dataset!$K122+dataset!$M122</f>
        <v>1000560</v>
      </c>
      <c r="P122" s="7">
        <f>Payroll_Data_Analysis[[#This Row],[Annual Salary + KPI Bonus]]/12/29.3*31</f>
        <v>88217.747440273029</v>
      </c>
      <c r="Q122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22" s="7">
        <f>Payroll_Data_Analysis[[#This Row],[Monthly Salary]]*11</f>
        <v>836000</v>
      </c>
      <c r="S122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22" s="7">
        <f>IF(Payroll_Data_Analysis[[#This Row],[Base Salary (Monthly)]]&gt;=200000,69507,IF(Payroll_Data_Analysis[[#This Row],[Base Salary (Monthly)]]&gt;=145000,52684,35103))</f>
        <v>35103</v>
      </c>
      <c r="U122" s="7">
        <f>Payroll_Data_Analysis[[#This Row],[Annual KPI Bonus Reserve]]+Payroll_Data_Analysis[[#This Row],[Vacation Reserve]]+Payroll_Data_Analysis[[#This Row],[11-Month Salary]]</f>
        <v>1012777.7474402731</v>
      </c>
      <c r="V122" s="7">
        <f>Payroll_Data_Analysis[[#This Row],[Payroll Taxes (KPI Bonus)]]+Payroll_Data_Analysis[[#This Row],[Payroll Taxes (Vacation)]]+Payroll_Data_Analysis[[#This Row],[Payroll Taxes (Salary)]]</f>
        <v>305858.87972696248</v>
      </c>
      <c r="W122" s="13">
        <f>Payroll_Data_Analysis[[#This Row],[Total Payroll]]+Payroll_Data_Analysis[[#This Row],[Total Payroll Taxes]]</f>
        <v>1318636.6271672356</v>
      </c>
    </row>
    <row r="123" spans="1:23">
      <c r="A123" s="11" t="s">
        <v>652</v>
      </c>
      <c r="B123" s="5" t="s">
        <v>126</v>
      </c>
      <c r="C123" s="5" t="s">
        <v>718</v>
      </c>
      <c r="D123" s="28" t="str">
        <f>VLOOKUP(Payroll_Data_Analysis[[#This Row],[Position]],Position_Map!$A$2:$B$58,2,FALSE)</f>
        <v>Technical</v>
      </c>
      <c r="E123" s="6">
        <v>1</v>
      </c>
      <c r="F123" s="7">
        <v>76000</v>
      </c>
      <c r="G123" s="7">
        <v>60000</v>
      </c>
      <c r="H123" s="7"/>
      <c r="I123" s="7">
        <f>dataset!$F123-dataset!$J123-dataset!$G123-dataset!$H123</f>
        <v>11200</v>
      </c>
      <c r="J123" s="7">
        <f>dataset!$G123*0.08</f>
        <v>4800</v>
      </c>
      <c r="K123" s="7">
        <f>dataset!$F123*12</f>
        <v>912000</v>
      </c>
      <c r="L123" s="12">
        <f>IF(dataset!$G123&gt;=200000,38%,IF(dataset!$G123&lt;=145000,12.3%,))</f>
        <v>0.12300000000000001</v>
      </c>
      <c r="M123" s="7">
        <f>dataset!$G123*L124*12</f>
        <v>88560.000000000015</v>
      </c>
      <c r="N12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3" s="7">
        <f>dataset!$K123+dataset!$M123</f>
        <v>1000560</v>
      </c>
      <c r="P123" s="7">
        <f>Payroll_Data_Analysis[[#This Row],[Annual Salary + KPI Bonus]]/12/29.3*31</f>
        <v>88217.747440273029</v>
      </c>
      <c r="Q123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23" s="7">
        <f>Payroll_Data_Analysis[[#This Row],[Monthly Salary]]*11</f>
        <v>836000</v>
      </c>
      <c r="S123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23" s="7">
        <f>IF(Payroll_Data_Analysis[[#This Row],[Base Salary (Monthly)]]&gt;=200000,69507,IF(Payroll_Data_Analysis[[#This Row],[Base Salary (Monthly)]]&gt;=145000,52684,35103))</f>
        <v>35103</v>
      </c>
      <c r="U123" s="7">
        <f>Payroll_Data_Analysis[[#This Row],[Annual KPI Bonus Reserve]]+Payroll_Data_Analysis[[#This Row],[Vacation Reserve]]+Payroll_Data_Analysis[[#This Row],[11-Month Salary]]</f>
        <v>1012777.7474402731</v>
      </c>
      <c r="V123" s="7">
        <f>Payroll_Data_Analysis[[#This Row],[Payroll Taxes (KPI Bonus)]]+Payroll_Data_Analysis[[#This Row],[Payroll Taxes (Vacation)]]+Payroll_Data_Analysis[[#This Row],[Payroll Taxes (Salary)]]</f>
        <v>305858.87972696248</v>
      </c>
      <c r="W123" s="13">
        <f>Payroll_Data_Analysis[[#This Row],[Total Payroll]]+Payroll_Data_Analysis[[#This Row],[Total Payroll Taxes]]</f>
        <v>1318636.6271672356</v>
      </c>
    </row>
    <row r="124" spans="1:23">
      <c r="A124" s="11" t="s">
        <v>652</v>
      </c>
      <c r="B124" s="5" t="s">
        <v>127</v>
      </c>
      <c r="C124" s="5" t="s">
        <v>718</v>
      </c>
      <c r="D124" s="28" t="str">
        <f>VLOOKUP(Payroll_Data_Analysis[[#This Row],[Position]],Position_Map!$A$2:$B$58,2,FALSE)</f>
        <v>Technical</v>
      </c>
      <c r="E124" s="6">
        <v>1</v>
      </c>
      <c r="F124" s="7">
        <v>74000</v>
      </c>
      <c r="G124" s="7">
        <v>60000</v>
      </c>
      <c r="H124" s="7"/>
      <c r="I124" s="7">
        <f>dataset!$F124-dataset!$J124-dataset!$G124-dataset!$H124</f>
        <v>9200</v>
      </c>
      <c r="J124" s="7">
        <f>dataset!$G124*0.08</f>
        <v>4800</v>
      </c>
      <c r="K124" s="7">
        <f>dataset!$F124*12</f>
        <v>888000</v>
      </c>
      <c r="L124" s="12">
        <f>IF(dataset!$G124&gt;=200000,38%,IF(dataset!$G124&lt;=145000,12.3%,))</f>
        <v>0.12300000000000001</v>
      </c>
      <c r="M124" s="7">
        <f>dataset!$G124*L125*12</f>
        <v>88560.000000000015</v>
      </c>
      <c r="N12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4" s="7">
        <f>dataset!$K124+dataset!$M124</f>
        <v>976560</v>
      </c>
      <c r="P124" s="7">
        <f>Payroll_Data_Analysis[[#This Row],[Annual Salary + KPI Bonus]]/12/29.3*31</f>
        <v>86101.706484641632</v>
      </c>
      <c r="Q124" s="7">
        <f>IF(Payroll_Data_Analysis[[#This Row],[Vacation Reserve]]&lt;=2979000,Payroll_Data_Analysis[[#This Row],[Vacation Reserve]]*0.302,2979000*0.302+(Payroll_Data_Analysis[[#This Row],[Vacation Reserve]]-2979000)*0.151)</f>
        <v>26002.715358361773</v>
      </c>
      <c r="R124" s="7">
        <f>Payroll_Data_Analysis[[#This Row],[Monthly Salary]]*11</f>
        <v>814000</v>
      </c>
      <c r="S124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24" s="7">
        <f>IF(Payroll_Data_Analysis[[#This Row],[Base Salary (Monthly)]]&gt;=200000,69507,IF(Payroll_Data_Analysis[[#This Row],[Base Salary (Monthly)]]&gt;=145000,52684,35103))</f>
        <v>35103</v>
      </c>
      <c r="U124" s="7">
        <f>Payroll_Data_Analysis[[#This Row],[Annual KPI Bonus Reserve]]+Payroll_Data_Analysis[[#This Row],[Vacation Reserve]]+Payroll_Data_Analysis[[#This Row],[11-Month Salary]]</f>
        <v>988661.70648464165</v>
      </c>
      <c r="V124" s="7">
        <f>Payroll_Data_Analysis[[#This Row],[Payroll Taxes (KPI Bonus)]]+Payroll_Data_Analysis[[#This Row],[Payroll Taxes (Vacation)]]+Payroll_Data_Analysis[[#This Row],[Payroll Taxes (Salary)]]</f>
        <v>298575.83535836177</v>
      </c>
      <c r="W124" s="13">
        <f>Payroll_Data_Analysis[[#This Row],[Total Payroll]]+Payroll_Data_Analysis[[#This Row],[Total Payroll Taxes]]</f>
        <v>1287237.5418430034</v>
      </c>
    </row>
    <row r="125" spans="1:23">
      <c r="A125" s="11" t="s">
        <v>652</v>
      </c>
      <c r="B125" s="5" t="s">
        <v>128</v>
      </c>
      <c r="C125" s="5" t="s">
        <v>718</v>
      </c>
      <c r="D125" s="28" t="str">
        <f>VLOOKUP(Payroll_Data_Analysis[[#This Row],[Position]],Position_Map!$A$2:$B$58,2,FALSE)</f>
        <v>Technical</v>
      </c>
      <c r="E125" s="6">
        <v>1</v>
      </c>
      <c r="F125" s="7">
        <v>76000</v>
      </c>
      <c r="G125" s="7">
        <v>60000</v>
      </c>
      <c r="H125" s="7"/>
      <c r="I125" s="7">
        <f>dataset!$F125-dataset!$J125-dataset!$G125-dataset!$H125</f>
        <v>11200</v>
      </c>
      <c r="J125" s="7">
        <f>dataset!$G125*0.08</f>
        <v>4800</v>
      </c>
      <c r="K125" s="7">
        <f>dataset!$F125*12</f>
        <v>912000</v>
      </c>
      <c r="L125" s="12">
        <f>IF(dataset!$G125&gt;=200000,38%,IF(dataset!$G125&lt;=145000,12.3%,))</f>
        <v>0.12300000000000001</v>
      </c>
      <c r="M125" s="7">
        <f>dataset!$G125*L126*12</f>
        <v>88560.000000000015</v>
      </c>
      <c r="N12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5" s="7">
        <f>dataset!$K125+dataset!$M125</f>
        <v>1000560</v>
      </c>
      <c r="P125" s="7">
        <f>Payroll_Data_Analysis[[#This Row],[Annual Salary + KPI Bonus]]/12/29.3*31</f>
        <v>88217.747440273029</v>
      </c>
      <c r="Q125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25" s="7">
        <f>Payroll_Data_Analysis[[#This Row],[Monthly Salary]]*11</f>
        <v>836000</v>
      </c>
      <c r="S125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25" s="7">
        <f>IF(Payroll_Data_Analysis[[#This Row],[Base Salary (Monthly)]]&gt;=200000,69507,IF(Payroll_Data_Analysis[[#This Row],[Base Salary (Monthly)]]&gt;=145000,52684,35103))</f>
        <v>35103</v>
      </c>
      <c r="U125" s="7">
        <f>Payroll_Data_Analysis[[#This Row],[Annual KPI Bonus Reserve]]+Payroll_Data_Analysis[[#This Row],[Vacation Reserve]]+Payroll_Data_Analysis[[#This Row],[11-Month Salary]]</f>
        <v>1012777.7474402731</v>
      </c>
      <c r="V125" s="7">
        <f>Payroll_Data_Analysis[[#This Row],[Payroll Taxes (KPI Bonus)]]+Payroll_Data_Analysis[[#This Row],[Payroll Taxes (Vacation)]]+Payroll_Data_Analysis[[#This Row],[Payroll Taxes (Salary)]]</f>
        <v>305858.87972696248</v>
      </c>
      <c r="W125" s="13">
        <f>Payroll_Data_Analysis[[#This Row],[Total Payroll]]+Payroll_Data_Analysis[[#This Row],[Total Payroll Taxes]]</f>
        <v>1318636.6271672356</v>
      </c>
    </row>
    <row r="126" spans="1:23">
      <c r="A126" s="11" t="s">
        <v>652</v>
      </c>
      <c r="B126" s="5" t="s">
        <v>129</v>
      </c>
      <c r="C126" s="5" t="s">
        <v>718</v>
      </c>
      <c r="D126" s="28" t="str">
        <f>VLOOKUP(Payroll_Data_Analysis[[#This Row],[Position]],Position_Map!$A$2:$B$58,2,FALSE)</f>
        <v>Technical</v>
      </c>
      <c r="E126" s="6">
        <v>1</v>
      </c>
      <c r="F126" s="7">
        <v>96400</v>
      </c>
      <c r="G126" s="7">
        <v>80000</v>
      </c>
      <c r="H126" s="7"/>
      <c r="I126" s="7">
        <f>dataset!$F126-dataset!$J126-dataset!$G126-dataset!$H126</f>
        <v>10000</v>
      </c>
      <c r="J126" s="7">
        <f>dataset!$G126*0.08</f>
        <v>6400</v>
      </c>
      <c r="K126" s="7">
        <f>dataset!$F126*12</f>
        <v>1156800</v>
      </c>
      <c r="L126" s="12">
        <f>IF(dataset!$G126&gt;=200000,38%,IF(dataset!$G126&lt;=145000,12.3%,))</f>
        <v>0.12300000000000001</v>
      </c>
      <c r="M126" s="7">
        <f>dataset!$G126*L127*12</f>
        <v>118080.00000000003</v>
      </c>
      <c r="N12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26" s="7">
        <f>dataset!$K126+dataset!$M126</f>
        <v>1274880</v>
      </c>
      <c r="P126" s="7">
        <f>Payroll_Data_Analysis[[#This Row],[Annual Salary + KPI Bonus]]/12/29.3*31</f>
        <v>112404.09556313993</v>
      </c>
      <c r="Q126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26" s="7">
        <f>Payroll_Data_Analysis[[#This Row],[Monthly Salary]]*11</f>
        <v>1060400</v>
      </c>
      <c r="S126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26" s="7">
        <f>IF(Payroll_Data_Analysis[[#This Row],[Base Salary (Monthly)]]&gt;=200000,69507,IF(Payroll_Data_Analysis[[#This Row],[Base Salary (Monthly)]]&gt;=145000,52684,35103))</f>
        <v>35103</v>
      </c>
      <c r="U126" s="7">
        <f>Payroll_Data_Analysis[[#This Row],[Annual KPI Bonus Reserve]]+Payroll_Data_Analysis[[#This Row],[Vacation Reserve]]+Payroll_Data_Analysis[[#This Row],[11-Month Salary]]</f>
        <v>1290884.09556314</v>
      </c>
      <c r="V126" s="7">
        <f>Payroll_Data_Analysis[[#This Row],[Payroll Taxes (KPI Bonus)]]+Payroll_Data_Analysis[[#This Row],[Payroll Taxes (Vacation)]]+Payroll_Data_Analysis[[#This Row],[Payroll Taxes (Salary)]]</f>
        <v>389846.99686006829</v>
      </c>
      <c r="W126" s="13">
        <f>Payroll_Data_Analysis[[#This Row],[Total Payroll]]+Payroll_Data_Analysis[[#This Row],[Total Payroll Taxes]]</f>
        <v>1680731.0924232083</v>
      </c>
    </row>
    <row r="127" spans="1:23">
      <c r="A127" s="11" t="s">
        <v>652</v>
      </c>
      <c r="B127" s="5" t="s">
        <v>130</v>
      </c>
      <c r="C127" s="5" t="s">
        <v>718</v>
      </c>
      <c r="D127" s="28" t="str">
        <f>VLOOKUP(Payroll_Data_Analysis[[#This Row],[Position]],Position_Map!$A$2:$B$58,2,FALSE)</f>
        <v>Technical</v>
      </c>
      <c r="E127" s="6">
        <v>1</v>
      </c>
      <c r="F127" s="7">
        <v>74000</v>
      </c>
      <c r="G127" s="7">
        <v>50000</v>
      </c>
      <c r="H127" s="7"/>
      <c r="I127" s="7">
        <f>dataset!$F127-dataset!$J127-dataset!$G127-dataset!$H127</f>
        <v>20000</v>
      </c>
      <c r="J127" s="7">
        <f>dataset!$G127*0.08</f>
        <v>4000</v>
      </c>
      <c r="K127" s="7">
        <f>dataset!$F127*12</f>
        <v>888000</v>
      </c>
      <c r="L127" s="12">
        <f>IF(dataset!$G127&gt;=200000,38%,IF(dataset!$G127&lt;=145000,12.3%,))</f>
        <v>0.12300000000000001</v>
      </c>
      <c r="M127" s="7">
        <f>dataset!$G127*L128*12</f>
        <v>73800.000000000015</v>
      </c>
      <c r="N127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27" s="7">
        <f>dataset!$K127+dataset!$M127</f>
        <v>961800</v>
      </c>
      <c r="P127" s="7">
        <f>Payroll_Data_Analysis[[#This Row],[Annual Salary + KPI Bonus]]/12/29.3*31</f>
        <v>84800.341296928324</v>
      </c>
      <c r="Q127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127" s="7">
        <f>Payroll_Data_Analysis[[#This Row],[Monthly Salary]]*11</f>
        <v>814000</v>
      </c>
      <c r="S127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27" s="7">
        <f>IF(Payroll_Data_Analysis[[#This Row],[Base Salary (Monthly)]]&gt;=200000,69507,IF(Payroll_Data_Analysis[[#This Row],[Base Salary (Monthly)]]&gt;=145000,52684,35103))</f>
        <v>35103</v>
      </c>
      <c r="U127" s="7">
        <f>Payroll_Data_Analysis[[#This Row],[Annual KPI Bonus Reserve]]+Payroll_Data_Analysis[[#This Row],[Vacation Reserve]]+Payroll_Data_Analysis[[#This Row],[11-Month Salary]]</f>
        <v>972600.34129692835</v>
      </c>
      <c r="V127" s="7">
        <f>Payroll_Data_Analysis[[#This Row],[Payroll Taxes (KPI Bonus)]]+Payroll_Data_Analysis[[#This Row],[Payroll Taxes (Vacation)]]+Payroll_Data_Analysis[[#This Row],[Payroll Taxes (Salary)]]</f>
        <v>293725.30307167233</v>
      </c>
      <c r="W127" s="13">
        <f>Payroll_Data_Analysis[[#This Row],[Total Payroll]]+Payroll_Data_Analysis[[#This Row],[Total Payroll Taxes]]</f>
        <v>1266325.6443686006</v>
      </c>
    </row>
    <row r="128" spans="1:23">
      <c r="A128" s="11" t="s">
        <v>652</v>
      </c>
      <c r="B128" s="5" t="s">
        <v>131</v>
      </c>
      <c r="C128" s="5" t="s">
        <v>718</v>
      </c>
      <c r="D128" s="28" t="str">
        <f>VLOOKUP(Payroll_Data_Analysis[[#This Row],[Position]],Position_Map!$A$2:$B$58,2,FALSE)</f>
        <v>Technical</v>
      </c>
      <c r="E128" s="6">
        <v>1</v>
      </c>
      <c r="F128" s="7">
        <v>96400</v>
      </c>
      <c r="G128" s="7">
        <v>60000</v>
      </c>
      <c r="H128" s="7"/>
      <c r="I128" s="7">
        <f>dataset!$F128-dataset!$J128-dataset!$G128-dataset!$H128</f>
        <v>31600</v>
      </c>
      <c r="J128" s="7">
        <f>dataset!$G128*0.08</f>
        <v>4800</v>
      </c>
      <c r="K128" s="7">
        <f>dataset!$F128*12</f>
        <v>1156800</v>
      </c>
      <c r="L128" s="12">
        <f>IF(dataset!$G128&gt;=200000,38%,IF(dataset!$G128&lt;=145000,12.3%,))</f>
        <v>0.12300000000000001</v>
      </c>
      <c r="M128" s="7">
        <f>dataset!$G128*L129*12</f>
        <v>88560.000000000015</v>
      </c>
      <c r="N12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8" s="7">
        <f>dataset!$K128+dataset!$M128</f>
        <v>1245360</v>
      </c>
      <c r="P128" s="7">
        <f>Payroll_Data_Analysis[[#This Row],[Annual Salary + KPI Bonus]]/12/29.3*31</f>
        <v>109801.36518771331</v>
      </c>
      <c r="Q128" s="7">
        <f>IF(Payroll_Data_Analysis[[#This Row],[Vacation Reserve]]&lt;=2979000,Payroll_Data_Analysis[[#This Row],[Vacation Reserve]]*0.302,2979000*0.302+(Payroll_Data_Analysis[[#This Row],[Vacation Reserve]]-2979000)*0.151)</f>
        <v>33160.012286689416</v>
      </c>
      <c r="R128" s="7">
        <f>Payroll_Data_Analysis[[#This Row],[Monthly Salary]]*11</f>
        <v>1060400</v>
      </c>
      <c r="S128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28" s="7">
        <f>IF(Payroll_Data_Analysis[[#This Row],[Base Salary (Monthly)]]&gt;=200000,69507,IF(Payroll_Data_Analysis[[#This Row],[Base Salary (Monthly)]]&gt;=145000,52684,35103))</f>
        <v>35103</v>
      </c>
      <c r="U128" s="7">
        <f>Payroll_Data_Analysis[[#This Row],[Annual KPI Bonus Reserve]]+Payroll_Data_Analysis[[#This Row],[Vacation Reserve]]+Payroll_Data_Analysis[[#This Row],[11-Month Salary]]</f>
        <v>1258761.3651877134</v>
      </c>
      <c r="V128" s="7">
        <f>Payroll_Data_Analysis[[#This Row],[Payroll Taxes (KPI Bonus)]]+Payroll_Data_Analysis[[#This Row],[Payroll Taxes (Vacation)]]+Payroll_Data_Analysis[[#This Row],[Payroll Taxes (Salary)]]</f>
        <v>380145.93228668941</v>
      </c>
      <c r="W128" s="13">
        <f>Payroll_Data_Analysis[[#This Row],[Total Payroll]]+Payroll_Data_Analysis[[#This Row],[Total Payroll Taxes]]</f>
        <v>1638907.2974744029</v>
      </c>
    </row>
    <row r="129" spans="1:23">
      <c r="A129" s="11" t="s">
        <v>652</v>
      </c>
      <c r="B129" s="5" t="s">
        <v>132</v>
      </c>
      <c r="C129" s="5" t="s">
        <v>718</v>
      </c>
      <c r="D129" s="28" t="str">
        <f>VLOOKUP(Payroll_Data_Analysis[[#This Row],[Position]],Position_Map!$A$2:$B$58,2,FALSE)</f>
        <v>Technical</v>
      </c>
      <c r="E129" s="6">
        <v>1</v>
      </c>
      <c r="F129" s="7">
        <v>96400</v>
      </c>
      <c r="G129" s="7">
        <v>60000</v>
      </c>
      <c r="H129" s="7"/>
      <c r="I129" s="7">
        <f>dataset!$F129-dataset!$J129-dataset!$G129-dataset!$H129</f>
        <v>31600</v>
      </c>
      <c r="J129" s="7">
        <f>dataset!$G129*0.08</f>
        <v>4800</v>
      </c>
      <c r="K129" s="7">
        <f>dataset!$F129*12</f>
        <v>1156800</v>
      </c>
      <c r="L129" s="12">
        <f>IF(dataset!$G129&gt;=200000,38%,IF(dataset!$G129&lt;=145000,12.3%,))</f>
        <v>0.12300000000000001</v>
      </c>
      <c r="M129" s="7">
        <f>dataset!$G129*L130*12</f>
        <v>88560.000000000015</v>
      </c>
      <c r="N12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29" s="7">
        <f>dataset!$K129+dataset!$M129</f>
        <v>1245360</v>
      </c>
      <c r="P129" s="7">
        <f>Payroll_Data_Analysis[[#This Row],[Annual Salary + KPI Bonus]]/12/29.3*31</f>
        <v>109801.36518771331</v>
      </c>
      <c r="Q129" s="7">
        <f>IF(Payroll_Data_Analysis[[#This Row],[Vacation Reserve]]&lt;=2979000,Payroll_Data_Analysis[[#This Row],[Vacation Reserve]]*0.302,2979000*0.302+(Payroll_Data_Analysis[[#This Row],[Vacation Reserve]]-2979000)*0.151)</f>
        <v>33160.012286689416</v>
      </c>
      <c r="R129" s="7">
        <f>Payroll_Data_Analysis[[#This Row],[Monthly Salary]]*11</f>
        <v>1060400</v>
      </c>
      <c r="S129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29" s="7">
        <f>IF(Payroll_Data_Analysis[[#This Row],[Base Salary (Monthly)]]&gt;=200000,69507,IF(Payroll_Data_Analysis[[#This Row],[Base Salary (Monthly)]]&gt;=145000,52684,35103))</f>
        <v>35103</v>
      </c>
      <c r="U129" s="7">
        <f>Payroll_Data_Analysis[[#This Row],[Annual KPI Bonus Reserve]]+Payroll_Data_Analysis[[#This Row],[Vacation Reserve]]+Payroll_Data_Analysis[[#This Row],[11-Month Salary]]</f>
        <v>1258761.3651877134</v>
      </c>
      <c r="V129" s="7">
        <f>Payroll_Data_Analysis[[#This Row],[Payroll Taxes (KPI Bonus)]]+Payroll_Data_Analysis[[#This Row],[Payroll Taxes (Vacation)]]+Payroll_Data_Analysis[[#This Row],[Payroll Taxes (Salary)]]</f>
        <v>380145.93228668941</v>
      </c>
      <c r="W129" s="13">
        <f>Payroll_Data_Analysis[[#This Row],[Total Payroll]]+Payroll_Data_Analysis[[#This Row],[Total Payroll Taxes]]</f>
        <v>1638907.2974744029</v>
      </c>
    </row>
    <row r="130" spans="1:23">
      <c r="A130" s="11" t="s">
        <v>652</v>
      </c>
      <c r="B130" s="5" t="s">
        <v>133</v>
      </c>
      <c r="C130" s="5" t="s">
        <v>718</v>
      </c>
      <c r="D130" s="28" t="str">
        <f>VLOOKUP(Payroll_Data_Analysis[[#This Row],[Position]],Position_Map!$A$2:$B$58,2,FALSE)</f>
        <v>Technical</v>
      </c>
      <c r="E130" s="6">
        <v>1</v>
      </c>
      <c r="F130" s="7">
        <v>96400</v>
      </c>
      <c r="G130" s="7">
        <v>60000</v>
      </c>
      <c r="H130" s="7"/>
      <c r="I130" s="7">
        <f>dataset!$F130-dataset!$J130-dataset!$G130-dataset!$H130</f>
        <v>31600</v>
      </c>
      <c r="J130" s="7">
        <f>dataset!$G130*0.08</f>
        <v>4800</v>
      </c>
      <c r="K130" s="7">
        <f>dataset!$F130*12</f>
        <v>1156800</v>
      </c>
      <c r="L130" s="12">
        <f>IF(dataset!$G130&gt;=200000,38%,IF(dataset!$G130&lt;=145000,12.3%,))</f>
        <v>0.12300000000000001</v>
      </c>
      <c r="M130" s="7">
        <f>dataset!$G130*L131*12</f>
        <v>88560.000000000015</v>
      </c>
      <c r="N13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30" s="7">
        <f>dataset!$K130+dataset!$M130</f>
        <v>1245360</v>
      </c>
      <c r="P130" s="7">
        <f>Payroll_Data_Analysis[[#This Row],[Annual Salary + KPI Bonus]]/12/29.3*31</f>
        <v>109801.36518771331</v>
      </c>
      <c r="Q130" s="7">
        <f>IF(Payroll_Data_Analysis[[#This Row],[Vacation Reserve]]&lt;=2979000,Payroll_Data_Analysis[[#This Row],[Vacation Reserve]]*0.302,2979000*0.302+(Payroll_Data_Analysis[[#This Row],[Vacation Reserve]]-2979000)*0.151)</f>
        <v>33160.012286689416</v>
      </c>
      <c r="R130" s="7">
        <f>Payroll_Data_Analysis[[#This Row],[Monthly Salary]]*11</f>
        <v>1060400</v>
      </c>
      <c r="S130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30" s="7">
        <f>IF(Payroll_Data_Analysis[[#This Row],[Base Salary (Monthly)]]&gt;=200000,69507,IF(Payroll_Data_Analysis[[#This Row],[Base Salary (Monthly)]]&gt;=145000,52684,35103))</f>
        <v>35103</v>
      </c>
      <c r="U130" s="7">
        <f>Payroll_Data_Analysis[[#This Row],[Annual KPI Bonus Reserve]]+Payroll_Data_Analysis[[#This Row],[Vacation Reserve]]+Payroll_Data_Analysis[[#This Row],[11-Month Salary]]</f>
        <v>1258761.3651877134</v>
      </c>
      <c r="V130" s="7">
        <f>Payroll_Data_Analysis[[#This Row],[Payroll Taxes (KPI Bonus)]]+Payroll_Data_Analysis[[#This Row],[Payroll Taxes (Vacation)]]+Payroll_Data_Analysis[[#This Row],[Payroll Taxes (Salary)]]</f>
        <v>380145.93228668941</v>
      </c>
      <c r="W130" s="13">
        <f>Payroll_Data_Analysis[[#This Row],[Total Payroll]]+Payroll_Data_Analysis[[#This Row],[Total Payroll Taxes]]</f>
        <v>1638907.2974744029</v>
      </c>
    </row>
    <row r="131" spans="1:23">
      <c r="A131" s="11" t="s">
        <v>652</v>
      </c>
      <c r="B131" s="5" t="s">
        <v>134</v>
      </c>
      <c r="C131" s="5" t="s">
        <v>703</v>
      </c>
      <c r="D131" s="28" t="str">
        <f>VLOOKUP(Payroll_Data_Analysis[[#This Row],[Position]],Position_Map!$A$2:$B$58,2,FALSE)</f>
        <v>Management</v>
      </c>
      <c r="E131" s="6">
        <v>1</v>
      </c>
      <c r="F131" s="7">
        <v>201100</v>
      </c>
      <c r="G131" s="7">
        <v>145000</v>
      </c>
      <c r="H131" s="7"/>
      <c r="I131" s="7">
        <f>dataset!$F131-dataset!$J131-dataset!$G131-dataset!$H131</f>
        <v>44500</v>
      </c>
      <c r="J131" s="7">
        <f>dataset!$G131*0.08</f>
        <v>11600</v>
      </c>
      <c r="K131" s="7">
        <f>dataset!$F131*12</f>
        <v>2413200</v>
      </c>
      <c r="L131" s="12">
        <f>IF(dataset!$G131&gt;=200000,38%,IF(dataset!$G131&lt;=145000,12.3%,))</f>
        <v>0.12300000000000001</v>
      </c>
      <c r="M131" s="7">
        <f>dataset!$G131*L132*12</f>
        <v>214020</v>
      </c>
      <c r="N13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31" s="7">
        <f>dataset!$K131+dataset!$M131</f>
        <v>2627220</v>
      </c>
      <c r="P131" s="7">
        <f>Payroll_Data_Analysis[[#This Row],[Annual Salary + KPI Bonus]]/12/29.3*31</f>
        <v>231637.71331058021</v>
      </c>
      <c r="Q131" s="7">
        <f>IF(Payroll_Data_Analysis[[#This Row],[Vacation Reserve]]&lt;=2979000,Payroll_Data_Analysis[[#This Row],[Vacation Reserve]]*0.302,2979000*0.302+(Payroll_Data_Analysis[[#This Row],[Vacation Reserve]]-2979000)*0.151)</f>
        <v>69954.589419795215</v>
      </c>
      <c r="R131" s="7">
        <f>Payroll_Data_Analysis[[#This Row],[Monthly Salary]]*11</f>
        <v>2212100</v>
      </c>
      <c r="S131" s="7">
        <f>IF(Payroll_Data_Analysis[[#This Row],[11-Month Salary]]&lt;=2979000,Payroll_Data_Analysis[[#This Row],[11-Month Salary]]*0.302,2979000*0.302+(Payroll_Data_Analysis[[#This Row],[11-Month Salary]]-2979000)*0.151)</f>
        <v>668054.19999999995</v>
      </c>
      <c r="T131" s="7">
        <f>IF(Payroll_Data_Analysis[[#This Row],[Base Salary (Monthly)]]&gt;=200000,69507,IF(Payroll_Data_Analysis[[#This Row],[Base Salary (Monthly)]]&gt;=145000,52684,35103))</f>
        <v>52684</v>
      </c>
      <c r="U131" s="7">
        <f>Payroll_Data_Analysis[[#This Row],[Annual KPI Bonus Reserve]]+Payroll_Data_Analysis[[#This Row],[Vacation Reserve]]+Payroll_Data_Analysis[[#This Row],[11-Month Salary]]</f>
        <v>2657757.7133105802</v>
      </c>
      <c r="V131" s="7">
        <f>Payroll_Data_Analysis[[#This Row],[Payroll Taxes (KPI Bonus)]]+Payroll_Data_Analysis[[#This Row],[Payroll Taxes (Vacation)]]+Payroll_Data_Analysis[[#This Row],[Payroll Taxes (Salary)]]</f>
        <v>802642.82941979519</v>
      </c>
      <c r="W131" s="13">
        <f>Payroll_Data_Analysis[[#This Row],[Total Payroll]]+Payroll_Data_Analysis[[#This Row],[Total Payroll Taxes]]</f>
        <v>3460400.5427303752</v>
      </c>
    </row>
    <row r="132" spans="1:23">
      <c r="A132" s="11" t="s">
        <v>652</v>
      </c>
      <c r="B132" s="5" t="s">
        <v>135</v>
      </c>
      <c r="C132" s="5" t="s">
        <v>704</v>
      </c>
      <c r="D132" s="28" t="str">
        <f>VLOOKUP(Payroll_Data_Analysis[[#This Row],[Position]],Position_Map!$A$2:$B$58,2,FALSE)</f>
        <v>Management</v>
      </c>
      <c r="E132" s="6">
        <v>1</v>
      </c>
      <c r="F132" s="7">
        <v>166000</v>
      </c>
      <c r="G132" s="7">
        <v>100000</v>
      </c>
      <c r="H132" s="7"/>
      <c r="I132" s="7">
        <f>dataset!$F132-dataset!$J132-dataset!$G132-dataset!$H132</f>
        <v>58000</v>
      </c>
      <c r="J132" s="7">
        <f>dataset!$G132*0.08</f>
        <v>8000</v>
      </c>
      <c r="K132" s="7">
        <f>dataset!$F132*12</f>
        <v>1992000</v>
      </c>
      <c r="L132" s="12">
        <f>IF(dataset!$G132&gt;=200000,38%,IF(dataset!$G132&lt;=145000,12.3%,))</f>
        <v>0.12300000000000001</v>
      </c>
      <c r="M132" s="7">
        <f>dataset!$G132*L133*12</f>
        <v>147600.00000000003</v>
      </c>
      <c r="N13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32" s="7">
        <f>dataset!$K132+dataset!$M132</f>
        <v>2139600</v>
      </c>
      <c r="P132" s="7">
        <f>Payroll_Data_Analysis[[#This Row],[Annual Salary + KPI Bonus]]/12/29.3*31</f>
        <v>188645.05119453924</v>
      </c>
      <c r="Q132" s="7">
        <f>IF(Payroll_Data_Analysis[[#This Row],[Vacation Reserve]]&lt;=2979000,Payroll_Data_Analysis[[#This Row],[Vacation Reserve]]*0.302,2979000*0.302+(Payroll_Data_Analysis[[#This Row],[Vacation Reserve]]-2979000)*0.151)</f>
        <v>56970.805460750846</v>
      </c>
      <c r="R132" s="7">
        <f>Payroll_Data_Analysis[[#This Row],[Monthly Salary]]*11</f>
        <v>1826000</v>
      </c>
      <c r="S132" s="7">
        <f>IF(Payroll_Data_Analysis[[#This Row],[11-Month Salary]]&lt;=2979000,Payroll_Data_Analysis[[#This Row],[11-Month Salary]]*0.302,2979000*0.302+(Payroll_Data_Analysis[[#This Row],[11-Month Salary]]-2979000)*0.151)</f>
        <v>551452</v>
      </c>
      <c r="T132" s="7">
        <f>IF(Payroll_Data_Analysis[[#This Row],[Base Salary (Monthly)]]&gt;=200000,69507,IF(Payroll_Data_Analysis[[#This Row],[Base Salary (Monthly)]]&gt;=145000,52684,35103))</f>
        <v>35103</v>
      </c>
      <c r="U132" s="7">
        <f>Payroll_Data_Analysis[[#This Row],[Annual KPI Bonus Reserve]]+Payroll_Data_Analysis[[#This Row],[Vacation Reserve]]+Payroll_Data_Analysis[[#This Row],[11-Month Salary]]</f>
        <v>2162245.0511945393</v>
      </c>
      <c r="V132" s="7">
        <f>Payroll_Data_Analysis[[#This Row],[Payroll Taxes (KPI Bonus)]]+Payroll_Data_Analysis[[#This Row],[Payroll Taxes (Vacation)]]+Payroll_Data_Analysis[[#This Row],[Payroll Taxes (Salary)]]</f>
        <v>652998.00546075089</v>
      </c>
      <c r="W132" s="13">
        <f>Payroll_Data_Analysis[[#This Row],[Total Payroll]]+Payroll_Data_Analysis[[#This Row],[Total Payroll Taxes]]</f>
        <v>2815243.0566552901</v>
      </c>
    </row>
    <row r="133" spans="1:23">
      <c r="A133" s="11" t="s">
        <v>652</v>
      </c>
      <c r="B133" s="5" t="s">
        <v>136</v>
      </c>
      <c r="C133" s="5" t="s">
        <v>708</v>
      </c>
      <c r="D133" s="28" t="str">
        <f>VLOOKUP(Payroll_Data_Analysis[[#This Row],[Position]],Position_Map!$A$2:$B$58,2,FALSE)</f>
        <v>Professional</v>
      </c>
      <c r="E133" s="6">
        <v>1</v>
      </c>
      <c r="F133" s="7">
        <v>126400</v>
      </c>
      <c r="G133" s="7">
        <v>100000</v>
      </c>
      <c r="H133" s="7"/>
      <c r="I133" s="7">
        <f>dataset!$F133-dataset!$J133-dataset!$G133-dataset!$H133</f>
        <v>18400</v>
      </c>
      <c r="J133" s="7">
        <f>dataset!$G133*0.08</f>
        <v>8000</v>
      </c>
      <c r="K133" s="7">
        <f>dataset!$F133*12</f>
        <v>1516800</v>
      </c>
      <c r="L133" s="12">
        <f>IF(dataset!$G133&gt;=200000,38%,IF(dataset!$G133&lt;=145000,12.3%,))</f>
        <v>0.12300000000000001</v>
      </c>
      <c r="M133" s="7">
        <f>dataset!$G133*L134*12</f>
        <v>147600.00000000003</v>
      </c>
      <c r="N13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33" s="7">
        <f>dataset!$K133+dataset!$M133</f>
        <v>1664400</v>
      </c>
      <c r="P133" s="7">
        <f>Payroll_Data_Analysis[[#This Row],[Annual Salary + KPI Bonus]]/12/29.3*31</f>
        <v>146747.44027303753</v>
      </c>
      <c r="Q133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133" s="7">
        <f>Payroll_Data_Analysis[[#This Row],[Monthly Salary]]*11</f>
        <v>1390400</v>
      </c>
      <c r="S133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133" s="7">
        <f>IF(Payroll_Data_Analysis[[#This Row],[Base Salary (Monthly)]]&gt;=200000,69507,IF(Payroll_Data_Analysis[[#This Row],[Base Salary (Monthly)]]&gt;=145000,52684,35103))</f>
        <v>35103</v>
      </c>
      <c r="U133" s="7">
        <f>Payroll_Data_Analysis[[#This Row],[Annual KPI Bonus Reserve]]+Payroll_Data_Analysis[[#This Row],[Vacation Reserve]]+Payroll_Data_Analysis[[#This Row],[11-Month Salary]]</f>
        <v>1684747.4402730376</v>
      </c>
      <c r="V133" s="7">
        <f>Payroll_Data_Analysis[[#This Row],[Payroll Taxes (KPI Bonus)]]+Payroll_Data_Analysis[[#This Row],[Payroll Taxes (Vacation)]]+Payroll_Data_Analysis[[#This Row],[Payroll Taxes (Salary)]]</f>
        <v>508793.72696245729</v>
      </c>
      <c r="W133" s="13">
        <f>Payroll_Data_Analysis[[#This Row],[Total Payroll]]+Payroll_Data_Analysis[[#This Row],[Total Payroll Taxes]]</f>
        <v>2193541.1672354951</v>
      </c>
    </row>
    <row r="134" spans="1:23">
      <c r="A134" s="11" t="s">
        <v>652</v>
      </c>
      <c r="B134" s="5" t="s">
        <v>137</v>
      </c>
      <c r="C134" s="5" t="s">
        <v>705</v>
      </c>
      <c r="D134" s="28" t="str">
        <f>VLOOKUP(Payroll_Data_Analysis[[#This Row],[Position]],Position_Map!$A$2:$B$58,2,FALSE)</f>
        <v>Professional</v>
      </c>
      <c r="E134" s="6">
        <v>1</v>
      </c>
      <c r="F134" s="7">
        <v>148000</v>
      </c>
      <c r="G134" s="7">
        <v>100000</v>
      </c>
      <c r="H134" s="7"/>
      <c r="I134" s="7">
        <f>dataset!$F134-dataset!$J134-dataset!$G134-dataset!$H134</f>
        <v>40000</v>
      </c>
      <c r="J134" s="7">
        <f>dataset!$G134*0.08</f>
        <v>8000</v>
      </c>
      <c r="K134" s="7">
        <f>dataset!$F134*12</f>
        <v>1776000</v>
      </c>
      <c r="L134" s="12">
        <f>IF(dataset!$G134&gt;=200000,38%,IF(dataset!$G134&lt;=145000,12.3%,))</f>
        <v>0.12300000000000001</v>
      </c>
      <c r="M134" s="7">
        <f>dataset!$G134*L135*12</f>
        <v>147600.00000000003</v>
      </c>
      <c r="N13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34" s="7">
        <f>dataset!$K134+dataset!$M134</f>
        <v>1923600</v>
      </c>
      <c r="P134" s="7">
        <f>Payroll_Data_Analysis[[#This Row],[Annual Salary + KPI Bonus]]/12/29.3*31</f>
        <v>169600.68259385665</v>
      </c>
      <c r="Q134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134" s="7">
        <f>Payroll_Data_Analysis[[#This Row],[Monthly Salary]]*11</f>
        <v>1628000</v>
      </c>
      <c r="S134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134" s="7">
        <f>IF(Payroll_Data_Analysis[[#This Row],[Base Salary (Monthly)]]&gt;=200000,69507,IF(Payroll_Data_Analysis[[#This Row],[Base Salary (Monthly)]]&gt;=145000,52684,35103))</f>
        <v>35103</v>
      </c>
      <c r="U134" s="7">
        <f>Payroll_Data_Analysis[[#This Row],[Annual KPI Bonus Reserve]]+Payroll_Data_Analysis[[#This Row],[Vacation Reserve]]+Payroll_Data_Analysis[[#This Row],[11-Month Salary]]</f>
        <v>1945200.6825938567</v>
      </c>
      <c r="V134" s="7">
        <f>Payroll_Data_Analysis[[#This Row],[Payroll Taxes (KPI Bonus)]]+Payroll_Data_Analysis[[#This Row],[Payroll Taxes (Vacation)]]+Payroll_Data_Analysis[[#This Row],[Payroll Taxes (Salary)]]</f>
        <v>587450.60614334466</v>
      </c>
      <c r="W134" s="13">
        <f>Payroll_Data_Analysis[[#This Row],[Total Payroll]]+Payroll_Data_Analysis[[#This Row],[Total Payroll Taxes]]</f>
        <v>2532651.2887372011</v>
      </c>
    </row>
    <row r="135" spans="1:23">
      <c r="A135" s="11" t="s">
        <v>652</v>
      </c>
      <c r="B135" s="5" t="s">
        <v>138</v>
      </c>
      <c r="C135" s="5" t="s">
        <v>710</v>
      </c>
      <c r="D135" s="28" t="str">
        <f>VLOOKUP(Payroll_Data_Analysis[[#This Row],[Position]],Position_Map!$A$2:$B$58,2,FALSE)</f>
        <v>Professional</v>
      </c>
      <c r="E135" s="6">
        <v>1</v>
      </c>
      <c r="F135" s="7">
        <v>64000</v>
      </c>
      <c r="G135" s="7">
        <v>50000</v>
      </c>
      <c r="H135" s="7"/>
      <c r="I135" s="7">
        <f>dataset!$F135-dataset!$J135-dataset!$G135-dataset!$H135</f>
        <v>10000</v>
      </c>
      <c r="J135" s="7">
        <f>dataset!$G135*0.08</f>
        <v>4000</v>
      </c>
      <c r="K135" s="7">
        <f>dataset!$F135*12</f>
        <v>768000</v>
      </c>
      <c r="L135" s="12">
        <f>IF(dataset!$G135&gt;=200000,38%,IF(dataset!$G135&lt;=145000,12.3%,))</f>
        <v>0.12300000000000001</v>
      </c>
      <c r="M135" s="7">
        <f>dataset!$G135*L136*12</f>
        <v>73800.000000000015</v>
      </c>
      <c r="N135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35" s="7">
        <f>dataset!$K135+dataset!$M135</f>
        <v>841800</v>
      </c>
      <c r="P135" s="7">
        <f>Payroll_Data_Analysis[[#This Row],[Annual Salary + KPI Bonus]]/12/29.3*31</f>
        <v>74220.136518771338</v>
      </c>
      <c r="Q135" s="7">
        <f>IF(Payroll_Data_Analysis[[#This Row],[Vacation Reserve]]&lt;=2979000,Payroll_Data_Analysis[[#This Row],[Vacation Reserve]]*0.302,2979000*0.302+(Payroll_Data_Analysis[[#This Row],[Vacation Reserve]]-2979000)*0.151)</f>
        <v>22414.481228668945</v>
      </c>
      <c r="R135" s="7">
        <f>Payroll_Data_Analysis[[#This Row],[Monthly Salary]]*11</f>
        <v>704000</v>
      </c>
      <c r="S135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135" s="7">
        <f>IF(Payroll_Data_Analysis[[#This Row],[Base Salary (Monthly)]]&gt;=200000,69507,IF(Payroll_Data_Analysis[[#This Row],[Base Salary (Monthly)]]&gt;=145000,52684,35103))</f>
        <v>35103</v>
      </c>
      <c r="U135" s="7">
        <f>Payroll_Data_Analysis[[#This Row],[Annual KPI Bonus Reserve]]+Payroll_Data_Analysis[[#This Row],[Vacation Reserve]]+Payroll_Data_Analysis[[#This Row],[11-Month Salary]]</f>
        <v>852020.13651877129</v>
      </c>
      <c r="V135" s="7">
        <f>Payroll_Data_Analysis[[#This Row],[Payroll Taxes (KPI Bonus)]]+Payroll_Data_Analysis[[#This Row],[Payroll Taxes (Vacation)]]+Payroll_Data_Analysis[[#This Row],[Payroll Taxes (Salary)]]</f>
        <v>257310.08122866895</v>
      </c>
      <c r="W135" s="13">
        <f>Payroll_Data_Analysis[[#This Row],[Total Payroll]]+Payroll_Data_Analysis[[#This Row],[Total Payroll Taxes]]</f>
        <v>1109330.2177474403</v>
      </c>
    </row>
    <row r="136" spans="1:23">
      <c r="A136" s="11" t="s">
        <v>652</v>
      </c>
      <c r="B136" s="5" t="s">
        <v>139</v>
      </c>
      <c r="C136" s="5" t="s">
        <v>719</v>
      </c>
      <c r="D136" s="28" t="str">
        <f>VLOOKUP(Payroll_Data_Analysis[[#This Row],[Position]],Position_Map!$A$2:$B$58,2,FALSE)</f>
        <v>Technical</v>
      </c>
      <c r="E136" s="6">
        <v>1</v>
      </c>
      <c r="F136" s="7">
        <v>74000</v>
      </c>
      <c r="G136" s="7">
        <v>50000</v>
      </c>
      <c r="H136" s="7"/>
      <c r="I136" s="7">
        <f>dataset!$F136-dataset!$J136-dataset!$G136-dataset!$H136</f>
        <v>20000</v>
      </c>
      <c r="J136" s="7">
        <f>dataset!$G136*0.08</f>
        <v>4000</v>
      </c>
      <c r="K136" s="7">
        <f>dataset!$F136*12</f>
        <v>888000</v>
      </c>
      <c r="L136" s="12">
        <f>IF(dataset!$G136&gt;=200000,38%,IF(dataset!$G136&lt;=145000,12.3%,))</f>
        <v>0.12300000000000001</v>
      </c>
      <c r="M136" s="7">
        <f>dataset!$G136*L137*12</f>
        <v>73800.000000000015</v>
      </c>
      <c r="N136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136" s="7">
        <f>dataset!$K136+dataset!$M136</f>
        <v>961800</v>
      </c>
      <c r="P136" s="7">
        <f>Payroll_Data_Analysis[[#This Row],[Annual Salary + KPI Bonus]]/12/29.3*31</f>
        <v>84800.341296928324</v>
      </c>
      <c r="Q136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136" s="7">
        <f>Payroll_Data_Analysis[[#This Row],[Monthly Salary]]*11</f>
        <v>814000</v>
      </c>
      <c r="S136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36" s="7">
        <f>IF(Payroll_Data_Analysis[[#This Row],[Base Salary (Monthly)]]&gt;=200000,69507,IF(Payroll_Data_Analysis[[#This Row],[Base Salary (Monthly)]]&gt;=145000,52684,35103))</f>
        <v>35103</v>
      </c>
      <c r="U136" s="7">
        <f>Payroll_Data_Analysis[[#This Row],[Annual KPI Bonus Reserve]]+Payroll_Data_Analysis[[#This Row],[Vacation Reserve]]+Payroll_Data_Analysis[[#This Row],[11-Month Salary]]</f>
        <v>972600.34129692835</v>
      </c>
      <c r="V136" s="7">
        <f>Payroll_Data_Analysis[[#This Row],[Payroll Taxes (KPI Bonus)]]+Payroll_Data_Analysis[[#This Row],[Payroll Taxes (Vacation)]]+Payroll_Data_Analysis[[#This Row],[Payroll Taxes (Salary)]]</f>
        <v>293725.30307167233</v>
      </c>
      <c r="W136" s="13">
        <f>Payroll_Data_Analysis[[#This Row],[Total Payroll]]+Payroll_Data_Analysis[[#This Row],[Total Payroll Taxes]]</f>
        <v>1266325.6443686006</v>
      </c>
    </row>
    <row r="137" spans="1:23">
      <c r="A137" s="11" t="s">
        <v>652</v>
      </c>
      <c r="B137" s="5" t="s">
        <v>140</v>
      </c>
      <c r="C137" s="5" t="s">
        <v>719</v>
      </c>
      <c r="D137" s="28" t="str">
        <f>VLOOKUP(Payroll_Data_Analysis[[#This Row],[Position]],Position_Map!$A$2:$B$58,2,FALSE)</f>
        <v>Technical</v>
      </c>
      <c r="E137" s="6">
        <v>1</v>
      </c>
      <c r="F137" s="7">
        <v>96400</v>
      </c>
      <c r="G137" s="7">
        <v>80000</v>
      </c>
      <c r="H137" s="7"/>
      <c r="I137" s="7">
        <f>dataset!$F137-dataset!$J137-dataset!$G137-dataset!$H137</f>
        <v>10000</v>
      </c>
      <c r="J137" s="7">
        <f>dataset!$G137*0.08</f>
        <v>6400</v>
      </c>
      <c r="K137" s="7">
        <f>dataset!$F137*12</f>
        <v>1156800</v>
      </c>
      <c r="L137" s="12">
        <f>IF(dataset!$G137&gt;=200000,38%,IF(dataset!$G137&lt;=145000,12.3%,))</f>
        <v>0.12300000000000001</v>
      </c>
      <c r="M137" s="7">
        <f>dataset!$G137*L138*12</f>
        <v>118080.00000000003</v>
      </c>
      <c r="N13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37" s="7">
        <f>dataset!$K137+dataset!$M137</f>
        <v>1274880</v>
      </c>
      <c r="P137" s="7">
        <f>Payroll_Data_Analysis[[#This Row],[Annual Salary + KPI Bonus]]/12/29.3*31</f>
        <v>112404.09556313993</v>
      </c>
      <c r="Q137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37" s="7">
        <f>Payroll_Data_Analysis[[#This Row],[Monthly Salary]]*11</f>
        <v>1060400</v>
      </c>
      <c r="S137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37" s="7">
        <f>IF(Payroll_Data_Analysis[[#This Row],[Base Salary (Monthly)]]&gt;=200000,69507,IF(Payroll_Data_Analysis[[#This Row],[Base Salary (Monthly)]]&gt;=145000,52684,35103))</f>
        <v>35103</v>
      </c>
      <c r="U137" s="7">
        <f>Payroll_Data_Analysis[[#This Row],[Annual KPI Bonus Reserve]]+Payroll_Data_Analysis[[#This Row],[Vacation Reserve]]+Payroll_Data_Analysis[[#This Row],[11-Month Salary]]</f>
        <v>1290884.09556314</v>
      </c>
      <c r="V137" s="7">
        <f>Payroll_Data_Analysis[[#This Row],[Payroll Taxes (KPI Bonus)]]+Payroll_Data_Analysis[[#This Row],[Payroll Taxes (Vacation)]]+Payroll_Data_Analysis[[#This Row],[Payroll Taxes (Salary)]]</f>
        <v>389846.99686006829</v>
      </c>
      <c r="W137" s="13">
        <f>Payroll_Data_Analysis[[#This Row],[Total Payroll]]+Payroll_Data_Analysis[[#This Row],[Total Payroll Taxes]]</f>
        <v>1680731.0924232083</v>
      </c>
    </row>
    <row r="138" spans="1:23">
      <c r="A138" s="11" t="s">
        <v>652</v>
      </c>
      <c r="B138" s="5" t="s">
        <v>141</v>
      </c>
      <c r="C138" s="5" t="s">
        <v>719</v>
      </c>
      <c r="D138" s="28" t="str">
        <f>VLOOKUP(Payroll_Data_Analysis[[#This Row],[Position]],Position_Map!$A$2:$B$58,2,FALSE)</f>
        <v>Technical</v>
      </c>
      <c r="E138" s="6">
        <v>1</v>
      </c>
      <c r="F138" s="7">
        <v>92800</v>
      </c>
      <c r="G138" s="7">
        <v>80000</v>
      </c>
      <c r="H138" s="7"/>
      <c r="I138" s="7">
        <f>dataset!$F138-dataset!$J138-dataset!$G138-dataset!$H138</f>
        <v>6400</v>
      </c>
      <c r="J138" s="7">
        <f>dataset!$G138*0.08</f>
        <v>6400</v>
      </c>
      <c r="K138" s="7">
        <f>dataset!$F138*12</f>
        <v>1113600</v>
      </c>
      <c r="L138" s="12">
        <f>IF(dataset!$G138&gt;=200000,38%,IF(dataset!$G138&lt;=145000,12.3%,))</f>
        <v>0.12300000000000001</v>
      </c>
      <c r="M138" s="7">
        <f>dataset!$G138*L139*12</f>
        <v>118080.00000000003</v>
      </c>
      <c r="N13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38" s="7">
        <f>dataset!$K138+dataset!$M138</f>
        <v>1231680</v>
      </c>
      <c r="P138" s="7">
        <f>Payroll_Data_Analysis[[#This Row],[Annual Salary + KPI Bonus]]/12/29.3*31</f>
        <v>108595.22184300341</v>
      </c>
      <c r="Q138" s="7">
        <f>IF(Payroll_Data_Analysis[[#This Row],[Vacation Reserve]]&lt;=2979000,Payroll_Data_Analysis[[#This Row],[Vacation Reserve]]*0.302,2979000*0.302+(Payroll_Data_Analysis[[#This Row],[Vacation Reserve]]-2979000)*0.151)</f>
        <v>32795.756996587028</v>
      </c>
      <c r="R138" s="7">
        <f>Payroll_Data_Analysis[[#This Row],[Monthly Salary]]*11</f>
        <v>1020800</v>
      </c>
      <c r="S138" s="7">
        <f>IF(Payroll_Data_Analysis[[#This Row],[11-Month Salary]]&lt;=2979000,Payroll_Data_Analysis[[#This Row],[11-Month Salary]]*0.302,2979000*0.302+(Payroll_Data_Analysis[[#This Row],[11-Month Salary]]-2979000)*0.151)</f>
        <v>308281.59999999998</v>
      </c>
      <c r="T138" s="7">
        <f>IF(Payroll_Data_Analysis[[#This Row],[Base Salary (Monthly)]]&gt;=200000,69507,IF(Payroll_Data_Analysis[[#This Row],[Base Salary (Monthly)]]&gt;=145000,52684,35103))</f>
        <v>35103</v>
      </c>
      <c r="U138" s="7">
        <f>Payroll_Data_Analysis[[#This Row],[Annual KPI Bonus Reserve]]+Payroll_Data_Analysis[[#This Row],[Vacation Reserve]]+Payroll_Data_Analysis[[#This Row],[11-Month Salary]]</f>
        <v>1247475.2218430035</v>
      </c>
      <c r="V138" s="7">
        <f>Payroll_Data_Analysis[[#This Row],[Payroll Taxes (KPI Bonus)]]+Payroll_Data_Analysis[[#This Row],[Payroll Taxes (Vacation)]]+Payroll_Data_Analysis[[#This Row],[Payroll Taxes (Salary)]]</f>
        <v>376737.51699658704</v>
      </c>
      <c r="W138" s="13">
        <f>Payroll_Data_Analysis[[#This Row],[Total Payroll]]+Payroll_Data_Analysis[[#This Row],[Total Payroll Taxes]]</f>
        <v>1624212.7388395905</v>
      </c>
    </row>
    <row r="139" spans="1:23">
      <c r="A139" s="11" t="s">
        <v>652</v>
      </c>
      <c r="B139" s="5" t="s">
        <v>142</v>
      </c>
      <c r="C139" s="5" t="s">
        <v>719</v>
      </c>
      <c r="D139" s="28" t="str">
        <f>VLOOKUP(Payroll_Data_Analysis[[#This Row],[Position]],Position_Map!$A$2:$B$58,2,FALSE)</f>
        <v>Technical</v>
      </c>
      <c r="E139" s="6">
        <v>1</v>
      </c>
      <c r="F139" s="7">
        <v>72000</v>
      </c>
      <c r="G139" s="7">
        <v>60000</v>
      </c>
      <c r="H139" s="7"/>
      <c r="I139" s="7">
        <f>dataset!$F139-dataset!$J139-dataset!$G139-dataset!$H139</f>
        <v>7200</v>
      </c>
      <c r="J139" s="7">
        <f>dataset!$G139*0.08</f>
        <v>4800</v>
      </c>
      <c r="K139" s="7">
        <f>dataset!$F139*12</f>
        <v>864000</v>
      </c>
      <c r="L139" s="12">
        <f>IF(dataset!$G139&gt;=200000,38%,IF(dataset!$G139&lt;=145000,12.3%,))</f>
        <v>0.12300000000000001</v>
      </c>
      <c r="M139" s="7">
        <f>dataset!$G139*L140*12</f>
        <v>88560.000000000015</v>
      </c>
      <c r="N13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39" s="7">
        <f>dataset!$K139+dataset!$M139</f>
        <v>952560</v>
      </c>
      <c r="P139" s="7">
        <f>Payroll_Data_Analysis[[#This Row],[Annual Salary + KPI Bonus]]/12/29.3*31</f>
        <v>83985.665529010235</v>
      </c>
      <c r="Q139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39" s="7">
        <f>Payroll_Data_Analysis[[#This Row],[Monthly Salary]]*11</f>
        <v>792000</v>
      </c>
      <c r="S139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39" s="7">
        <f>IF(Payroll_Data_Analysis[[#This Row],[Base Salary (Monthly)]]&gt;=200000,69507,IF(Payroll_Data_Analysis[[#This Row],[Base Salary (Monthly)]]&gt;=145000,52684,35103))</f>
        <v>35103</v>
      </c>
      <c r="U139" s="7">
        <f>Payroll_Data_Analysis[[#This Row],[Annual KPI Bonus Reserve]]+Payroll_Data_Analysis[[#This Row],[Vacation Reserve]]+Payroll_Data_Analysis[[#This Row],[11-Month Salary]]</f>
        <v>964545.66552901024</v>
      </c>
      <c r="V139" s="7">
        <f>Payroll_Data_Analysis[[#This Row],[Payroll Taxes (KPI Bonus)]]+Payroll_Data_Analysis[[#This Row],[Payroll Taxes (Vacation)]]+Payroll_Data_Analysis[[#This Row],[Payroll Taxes (Salary)]]</f>
        <v>291292.79098976112</v>
      </c>
      <c r="W139" s="13">
        <f>Payroll_Data_Analysis[[#This Row],[Total Payroll]]+Payroll_Data_Analysis[[#This Row],[Total Payroll Taxes]]</f>
        <v>1255838.4565187714</v>
      </c>
    </row>
    <row r="140" spans="1:23">
      <c r="A140" s="11" t="s">
        <v>652</v>
      </c>
      <c r="B140" s="5" t="s">
        <v>143</v>
      </c>
      <c r="C140" s="5" t="s">
        <v>719</v>
      </c>
      <c r="D140" s="28" t="str">
        <f>VLOOKUP(Payroll_Data_Analysis[[#This Row],[Position]],Position_Map!$A$2:$B$58,2,FALSE)</f>
        <v>Technical</v>
      </c>
      <c r="E140" s="6">
        <v>1</v>
      </c>
      <c r="F140" s="7">
        <v>72000</v>
      </c>
      <c r="G140" s="7">
        <v>60000</v>
      </c>
      <c r="H140" s="7"/>
      <c r="I140" s="7">
        <f>dataset!$F140-dataset!$J140-dataset!$G140-dataset!$H140</f>
        <v>7200</v>
      </c>
      <c r="J140" s="7">
        <f>dataset!$G140*0.08</f>
        <v>4800</v>
      </c>
      <c r="K140" s="7">
        <f>dataset!$F140*12</f>
        <v>864000</v>
      </c>
      <c r="L140" s="12">
        <f>IF(dataset!$G140&gt;=200000,38%,IF(dataset!$G140&lt;=145000,12.3%,))</f>
        <v>0.12300000000000001</v>
      </c>
      <c r="M140" s="7">
        <f>dataset!$G140*L141*12</f>
        <v>88560.000000000015</v>
      </c>
      <c r="N14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0" s="7">
        <f>dataset!$K140+dataset!$M140</f>
        <v>952560</v>
      </c>
      <c r="P140" s="7">
        <f>Payroll_Data_Analysis[[#This Row],[Annual Salary + KPI Bonus]]/12/29.3*31</f>
        <v>83985.665529010235</v>
      </c>
      <c r="Q140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0" s="7">
        <f>Payroll_Data_Analysis[[#This Row],[Monthly Salary]]*11</f>
        <v>792000</v>
      </c>
      <c r="S140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0" s="7">
        <f>IF(Payroll_Data_Analysis[[#This Row],[Base Salary (Monthly)]]&gt;=200000,69507,IF(Payroll_Data_Analysis[[#This Row],[Base Salary (Monthly)]]&gt;=145000,52684,35103))</f>
        <v>35103</v>
      </c>
      <c r="U140" s="7">
        <f>Payroll_Data_Analysis[[#This Row],[Annual KPI Bonus Reserve]]+Payroll_Data_Analysis[[#This Row],[Vacation Reserve]]+Payroll_Data_Analysis[[#This Row],[11-Month Salary]]</f>
        <v>964545.66552901024</v>
      </c>
      <c r="V140" s="7">
        <f>Payroll_Data_Analysis[[#This Row],[Payroll Taxes (KPI Bonus)]]+Payroll_Data_Analysis[[#This Row],[Payroll Taxes (Vacation)]]+Payroll_Data_Analysis[[#This Row],[Payroll Taxes (Salary)]]</f>
        <v>291292.79098976112</v>
      </c>
      <c r="W140" s="13">
        <f>Payroll_Data_Analysis[[#This Row],[Total Payroll]]+Payroll_Data_Analysis[[#This Row],[Total Payroll Taxes]]</f>
        <v>1255838.4565187714</v>
      </c>
    </row>
    <row r="141" spans="1:23">
      <c r="A141" s="11" t="s">
        <v>652</v>
      </c>
      <c r="B141" s="5" t="s">
        <v>144</v>
      </c>
      <c r="C141" s="5" t="s">
        <v>719</v>
      </c>
      <c r="D141" s="28" t="str">
        <f>VLOOKUP(Payroll_Data_Analysis[[#This Row],[Position]],Position_Map!$A$2:$B$58,2,FALSE)</f>
        <v>Technical</v>
      </c>
      <c r="E141" s="6">
        <v>1</v>
      </c>
      <c r="F141" s="7">
        <v>72000</v>
      </c>
      <c r="G141" s="7">
        <v>60000</v>
      </c>
      <c r="H141" s="7"/>
      <c r="I141" s="7">
        <f>dataset!$F141-dataset!$J141-dataset!$G141-dataset!$H141</f>
        <v>7200</v>
      </c>
      <c r="J141" s="7">
        <f>dataset!$G141*0.08</f>
        <v>4800</v>
      </c>
      <c r="K141" s="7">
        <f>dataset!$F141*12</f>
        <v>864000</v>
      </c>
      <c r="L141" s="12">
        <f>IF(dataset!$G141&gt;=200000,38%,IF(dataset!$G141&lt;=145000,12.3%,))</f>
        <v>0.12300000000000001</v>
      </c>
      <c r="M141" s="7">
        <f>dataset!$G141*L142*12</f>
        <v>88560.000000000015</v>
      </c>
      <c r="N14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1" s="7">
        <f>dataset!$K141+dataset!$M141</f>
        <v>952560</v>
      </c>
      <c r="P141" s="7">
        <f>Payroll_Data_Analysis[[#This Row],[Annual Salary + KPI Bonus]]/12/29.3*31</f>
        <v>83985.665529010235</v>
      </c>
      <c r="Q141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1" s="7">
        <f>Payroll_Data_Analysis[[#This Row],[Monthly Salary]]*11</f>
        <v>792000</v>
      </c>
      <c r="S141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1" s="7">
        <f>IF(Payroll_Data_Analysis[[#This Row],[Base Salary (Monthly)]]&gt;=200000,69507,IF(Payroll_Data_Analysis[[#This Row],[Base Salary (Monthly)]]&gt;=145000,52684,35103))</f>
        <v>35103</v>
      </c>
      <c r="U141" s="7">
        <f>Payroll_Data_Analysis[[#This Row],[Annual KPI Bonus Reserve]]+Payroll_Data_Analysis[[#This Row],[Vacation Reserve]]+Payroll_Data_Analysis[[#This Row],[11-Month Salary]]</f>
        <v>964545.66552901024</v>
      </c>
      <c r="V141" s="7">
        <f>Payroll_Data_Analysis[[#This Row],[Payroll Taxes (KPI Bonus)]]+Payroll_Data_Analysis[[#This Row],[Payroll Taxes (Vacation)]]+Payroll_Data_Analysis[[#This Row],[Payroll Taxes (Salary)]]</f>
        <v>291292.79098976112</v>
      </c>
      <c r="W141" s="13">
        <f>Payroll_Data_Analysis[[#This Row],[Total Payroll]]+Payroll_Data_Analysis[[#This Row],[Total Payroll Taxes]]</f>
        <v>1255838.4565187714</v>
      </c>
    </row>
    <row r="142" spans="1:23">
      <c r="A142" s="11" t="s">
        <v>652</v>
      </c>
      <c r="B142" s="5" t="s">
        <v>145</v>
      </c>
      <c r="C142" s="5" t="s">
        <v>719</v>
      </c>
      <c r="D142" s="28" t="str">
        <f>VLOOKUP(Payroll_Data_Analysis[[#This Row],[Position]],Position_Map!$A$2:$B$58,2,FALSE)</f>
        <v>Technical</v>
      </c>
      <c r="E142" s="6">
        <v>1</v>
      </c>
      <c r="F142" s="7">
        <v>72000</v>
      </c>
      <c r="G142" s="7">
        <v>60000</v>
      </c>
      <c r="H142" s="7"/>
      <c r="I142" s="7">
        <f>dataset!$F142-dataset!$J142-dataset!$G142-dataset!$H142</f>
        <v>7200</v>
      </c>
      <c r="J142" s="7">
        <f>dataset!$G142*0.08</f>
        <v>4800</v>
      </c>
      <c r="K142" s="7">
        <f>dataset!$F142*12</f>
        <v>864000</v>
      </c>
      <c r="L142" s="12">
        <f>IF(dataset!$G142&gt;=200000,38%,IF(dataset!$G142&lt;=145000,12.3%,))</f>
        <v>0.12300000000000001</v>
      </c>
      <c r="M142" s="7">
        <f>dataset!$G142*L143*12</f>
        <v>88560.000000000015</v>
      </c>
      <c r="N14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2" s="7">
        <f>dataset!$K142+dataset!$M142</f>
        <v>952560</v>
      </c>
      <c r="P142" s="7">
        <f>Payroll_Data_Analysis[[#This Row],[Annual Salary + KPI Bonus]]/12/29.3*31</f>
        <v>83985.665529010235</v>
      </c>
      <c r="Q142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2" s="7">
        <f>Payroll_Data_Analysis[[#This Row],[Monthly Salary]]*11</f>
        <v>792000</v>
      </c>
      <c r="S142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2" s="7">
        <f>IF(Payroll_Data_Analysis[[#This Row],[Base Salary (Monthly)]]&gt;=200000,69507,IF(Payroll_Data_Analysis[[#This Row],[Base Salary (Monthly)]]&gt;=145000,52684,35103))</f>
        <v>35103</v>
      </c>
      <c r="U142" s="7">
        <f>Payroll_Data_Analysis[[#This Row],[Annual KPI Bonus Reserve]]+Payroll_Data_Analysis[[#This Row],[Vacation Reserve]]+Payroll_Data_Analysis[[#This Row],[11-Month Salary]]</f>
        <v>964545.66552901024</v>
      </c>
      <c r="V142" s="7">
        <f>Payroll_Data_Analysis[[#This Row],[Payroll Taxes (KPI Bonus)]]+Payroll_Data_Analysis[[#This Row],[Payroll Taxes (Vacation)]]+Payroll_Data_Analysis[[#This Row],[Payroll Taxes (Salary)]]</f>
        <v>291292.79098976112</v>
      </c>
      <c r="W142" s="13">
        <f>Payroll_Data_Analysis[[#This Row],[Total Payroll]]+Payroll_Data_Analysis[[#This Row],[Total Payroll Taxes]]</f>
        <v>1255838.4565187714</v>
      </c>
    </row>
    <row r="143" spans="1:23">
      <c r="A143" s="11" t="s">
        <v>652</v>
      </c>
      <c r="B143" s="5" t="s">
        <v>146</v>
      </c>
      <c r="C143" s="5" t="s">
        <v>719</v>
      </c>
      <c r="D143" s="28" t="str">
        <f>VLOOKUP(Payroll_Data_Analysis[[#This Row],[Position]],Position_Map!$A$2:$B$58,2,FALSE)</f>
        <v>Technical</v>
      </c>
      <c r="E143" s="6">
        <v>1</v>
      </c>
      <c r="F143" s="7">
        <v>72000</v>
      </c>
      <c r="G143" s="7">
        <v>60000</v>
      </c>
      <c r="H143" s="7"/>
      <c r="I143" s="7">
        <f>dataset!$F143-dataset!$J143-dataset!$G143-dataset!$H143</f>
        <v>7200</v>
      </c>
      <c r="J143" s="7">
        <f>dataset!$G143*0.08</f>
        <v>4800</v>
      </c>
      <c r="K143" s="7">
        <f>dataset!$F143*12</f>
        <v>864000</v>
      </c>
      <c r="L143" s="12">
        <f>IF(dataset!$G143&gt;=200000,38%,IF(dataset!$G143&lt;=145000,12.3%,))</f>
        <v>0.12300000000000001</v>
      </c>
      <c r="M143" s="7">
        <f>dataset!$G143*L144*12</f>
        <v>88560.000000000015</v>
      </c>
      <c r="N14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3" s="7">
        <f>dataset!$K143+dataset!$M143</f>
        <v>952560</v>
      </c>
      <c r="P143" s="7">
        <f>Payroll_Data_Analysis[[#This Row],[Annual Salary + KPI Bonus]]/12/29.3*31</f>
        <v>83985.665529010235</v>
      </c>
      <c r="Q143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3" s="7">
        <f>Payroll_Data_Analysis[[#This Row],[Monthly Salary]]*11</f>
        <v>792000</v>
      </c>
      <c r="S143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3" s="7">
        <f>IF(Payroll_Data_Analysis[[#This Row],[Base Salary (Monthly)]]&gt;=200000,69507,IF(Payroll_Data_Analysis[[#This Row],[Base Salary (Monthly)]]&gt;=145000,52684,35103))</f>
        <v>35103</v>
      </c>
      <c r="U143" s="7">
        <f>Payroll_Data_Analysis[[#This Row],[Annual KPI Bonus Reserve]]+Payroll_Data_Analysis[[#This Row],[Vacation Reserve]]+Payroll_Data_Analysis[[#This Row],[11-Month Salary]]</f>
        <v>964545.66552901024</v>
      </c>
      <c r="V143" s="7">
        <f>Payroll_Data_Analysis[[#This Row],[Payroll Taxes (KPI Bonus)]]+Payroll_Data_Analysis[[#This Row],[Payroll Taxes (Vacation)]]+Payroll_Data_Analysis[[#This Row],[Payroll Taxes (Salary)]]</f>
        <v>291292.79098976112</v>
      </c>
      <c r="W143" s="13">
        <f>Payroll_Data_Analysis[[#This Row],[Total Payroll]]+Payroll_Data_Analysis[[#This Row],[Total Payroll Taxes]]</f>
        <v>1255838.4565187714</v>
      </c>
    </row>
    <row r="144" spans="1:23">
      <c r="A144" s="11" t="s">
        <v>652</v>
      </c>
      <c r="B144" s="5" t="s">
        <v>147</v>
      </c>
      <c r="C144" s="5" t="s">
        <v>719</v>
      </c>
      <c r="D144" s="28" t="str">
        <f>VLOOKUP(Payroll_Data_Analysis[[#This Row],[Position]],Position_Map!$A$2:$B$58,2,FALSE)</f>
        <v>Technical</v>
      </c>
      <c r="E144" s="6">
        <v>1</v>
      </c>
      <c r="F144" s="7">
        <v>72000</v>
      </c>
      <c r="G144" s="7">
        <v>60000</v>
      </c>
      <c r="H144" s="7"/>
      <c r="I144" s="7">
        <f>dataset!$F144-dataset!$J144-dataset!$G144-dataset!$H144</f>
        <v>7200</v>
      </c>
      <c r="J144" s="7">
        <f>dataset!$G144*0.08</f>
        <v>4800</v>
      </c>
      <c r="K144" s="7">
        <f>dataset!$F144*12</f>
        <v>864000</v>
      </c>
      <c r="L144" s="12">
        <f>IF(dataset!$G144&gt;=200000,38%,IF(dataset!$G144&lt;=145000,12.3%,))</f>
        <v>0.12300000000000001</v>
      </c>
      <c r="M144" s="7">
        <f>dataset!$G144*L145*12</f>
        <v>88560.000000000015</v>
      </c>
      <c r="N14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4" s="7">
        <f>dataset!$K144+dataset!$M144</f>
        <v>952560</v>
      </c>
      <c r="P144" s="7">
        <f>Payroll_Data_Analysis[[#This Row],[Annual Salary + KPI Bonus]]/12/29.3*31</f>
        <v>83985.665529010235</v>
      </c>
      <c r="Q144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4" s="7">
        <f>Payroll_Data_Analysis[[#This Row],[Monthly Salary]]*11</f>
        <v>792000</v>
      </c>
      <c r="S144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4" s="7">
        <f>IF(Payroll_Data_Analysis[[#This Row],[Base Salary (Monthly)]]&gt;=200000,69507,IF(Payroll_Data_Analysis[[#This Row],[Base Salary (Monthly)]]&gt;=145000,52684,35103))</f>
        <v>35103</v>
      </c>
      <c r="U144" s="7">
        <f>Payroll_Data_Analysis[[#This Row],[Annual KPI Bonus Reserve]]+Payroll_Data_Analysis[[#This Row],[Vacation Reserve]]+Payroll_Data_Analysis[[#This Row],[11-Month Salary]]</f>
        <v>964545.66552901024</v>
      </c>
      <c r="V144" s="7">
        <f>Payroll_Data_Analysis[[#This Row],[Payroll Taxes (KPI Bonus)]]+Payroll_Data_Analysis[[#This Row],[Payroll Taxes (Vacation)]]+Payroll_Data_Analysis[[#This Row],[Payroll Taxes (Salary)]]</f>
        <v>291292.79098976112</v>
      </c>
      <c r="W144" s="13">
        <f>Payroll_Data_Analysis[[#This Row],[Total Payroll]]+Payroll_Data_Analysis[[#This Row],[Total Payroll Taxes]]</f>
        <v>1255838.4565187714</v>
      </c>
    </row>
    <row r="145" spans="1:23">
      <c r="A145" s="11" t="s">
        <v>652</v>
      </c>
      <c r="B145" s="5" t="s">
        <v>148</v>
      </c>
      <c r="C145" s="5" t="s">
        <v>719</v>
      </c>
      <c r="D145" s="28" t="str">
        <f>VLOOKUP(Payroll_Data_Analysis[[#This Row],[Position]],Position_Map!$A$2:$B$58,2,FALSE)</f>
        <v>Technical</v>
      </c>
      <c r="E145" s="6">
        <v>1</v>
      </c>
      <c r="F145" s="7">
        <v>72000</v>
      </c>
      <c r="G145" s="7">
        <v>60000</v>
      </c>
      <c r="H145" s="7"/>
      <c r="I145" s="7">
        <f>dataset!$F145-dataset!$J145-dataset!$G145-dataset!$H145</f>
        <v>7200</v>
      </c>
      <c r="J145" s="7">
        <f>dataset!$G145*0.08</f>
        <v>4800</v>
      </c>
      <c r="K145" s="7">
        <f>dataset!$F145*12</f>
        <v>864000</v>
      </c>
      <c r="L145" s="12">
        <f>IF(dataset!$G145&gt;=200000,38%,IF(dataset!$G145&lt;=145000,12.3%,))</f>
        <v>0.12300000000000001</v>
      </c>
      <c r="M145" s="7">
        <f>dataset!$G145*L146*12</f>
        <v>88560.000000000015</v>
      </c>
      <c r="N14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5" s="7">
        <f>dataset!$K145+dataset!$M145</f>
        <v>952560</v>
      </c>
      <c r="P145" s="7">
        <f>Payroll_Data_Analysis[[#This Row],[Annual Salary + KPI Bonus]]/12/29.3*31</f>
        <v>83985.665529010235</v>
      </c>
      <c r="Q145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5" s="7">
        <f>Payroll_Data_Analysis[[#This Row],[Monthly Salary]]*11</f>
        <v>792000</v>
      </c>
      <c r="S145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5" s="7">
        <f>IF(Payroll_Data_Analysis[[#This Row],[Base Salary (Monthly)]]&gt;=200000,69507,IF(Payroll_Data_Analysis[[#This Row],[Base Salary (Monthly)]]&gt;=145000,52684,35103))</f>
        <v>35103</v>
      </c>
      <c r="U145" s="7">
        <f>Payroll_Data_Analysis[[#This Row],[Annual KPI Bonus Reserve]]+Payroll_Data_Analysis[[#This Row],[Vacation Reserve]]+Payroll_Data_Analysis[[#This Row],[11-Month Salary]]</f>
        <v>964545.66552901024</v>
      </c>
      <c r="V145" s="7">
        <f>Payroll_Data_Analysis[[#This Row],[Payroll Taxes (KPI Bonus)]]+Payroll_Data_Analysis[[#This Row],[Payroll Taxes (Vacation)]]+Payroll_Data_Analysis[[#This Row],[Payroll Taxes (Salary)]]</f>
        <v>291292.79098976112</v>
      </c>
      <c r="W145" s="13">
        <f>Payroll_Data_Analysis[[#This Row],[Total Payroll]]+Payroll_Data_Analysis[[#This Row],[Total Payroll Taxes]]</f>
        <v>1255838.4565187714</v>
      </c>
    </row>
    <row r="146" spans="1:23">
      <c r="A146" s="11" t="s">
        <v>652</v>
      </c>
      <c r="B146" s="5" t="s">
        <v>149</v>
      </c>
      <c r="C146" s="5" t="s">
        <v>719</v>
      </c>
      <c r="D146" s="28" t="str">
        <f>VLOOKUP(Payroll_Data_Analysis[[#This Row],[Position]],Position_Map!$A$2:$B$58,2,FALSE)</f>
        <v>Technical</v>
      </c>
      <c r="E146" s="6">
        <v>1</v>
      </c>
      <c r="F146" s="7">
        <v>72000</v>
      </c>
      <c r="G146" s="7">
        <v>60000</v>
      </c>
      <c r="H146" s="7"/>
      <c r="I146" s="7">
        <f>dataset!$F146-dataset!$J146-dataset!$G146-dataset!$H146</f>
        <v>7200</v>
      </c>
      <c r="J146" s="7">
        <f>dataset!$G146*0.08</f>
        <v>4800</v>
      </c>
      <c r="K146" s="7">
        <f>dataset!$F146*12</f>
        <v>864000</v>
      </c>
      <c r="L146" s="12">
        <f>IF(dataset!$G146&gt;=200000,38%,IF(dataset!$G146&lt;=145000,12.3%,))</f>
        <v>0.12300000000000001</v>
      </c>
      <c r="M146" s="7">
        <f>dataset!$G146*L147*12</f>
        <v>88560.000000000015</v>
      </c>
      <c r="N14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46" s="7">
        <f>dataset!$K146+dataset!$M146</f>
        <v>952560</v>
      </c>
      <c r="P146" s="7">
        <f>Payroll_Data_Analysis[[#This Row],[Annual Salary + KPI Bonus]]/12/29.3*31</f>
        <v>83985.665529010235</v>
      </c>
      <c r="Q146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46" s="7">
        <f>Payroll_Data_Analysis[[#This Row],[Monthly Salary]]*11</f>
        <v>792000</v>
      </c>
      <c r="S146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46" s="7">
        <f>IF(Payroll_Data_Analysis[[#This Row],[Base Salary (Monthly)]]&gt;=200000,69507,IF(Payroll_Data_Analysis[[#This Row],[Base Salary (Monthly)]]&gt;=145000,52684,35103))</f>
        <v>35103</v>
      </c>
      <c r="U146" s="7">
        <f>Payroll_Data_Analysis[[#This Row],[Annual KPI Bonus Reserve]]+Payroll_Data_Analysis[[#This Row],[Vacation Reserve]]+Payroll_Data_Analysis[[#This Row],[11-Month Salary]]</f>
        <v>964545.66552901024</v>
      </c>
      <c r="V146" s="7">
        <f>Payroll_Data_Analysis[[#This Row],[Payroll Taxes (KPI Bonus)]]+Payroll_Data_Analysis[[#This Row],[Payroll Taxes (Vacation)]]+Payroll_Data_Analysis[[#This Row],[Payroll Taxes (Salary)]]</f>
        <v>291292.79098976112</v>
      </c>
      <c r="W146" s="13">
        <f>Payroll_Data_Analysis[[#This Row],[Total Payroll]]+Payroll_Data_Analysis[[#This Row],[Total Payroll Taxes]]</f>
        <v>1255838.4565187714</v>
      </c>
    </row>
    <row r="147" spans="1:23">
      <c r="A147" s="11" t="s">
        <v>652</v>
      </c>
      <c r="B147" s="5" t="s">
        <v>150</v>
      </c>
      <c r="C147" s="5" t="s">
        <v>703</v>
      </c>
      <c r="D147" s="28" t="str">
        <f>VLOOKUP(Payroll_Data_Analysis[[#This Row],[Position]],Position_Map!$A$2:$B$58,2,FALSE)</f>
        <v>Management</v>
      </c>
      <c r="E147" s="6">
        <v>1</v>
      </c>
      <c r="F147" s="7">
        <v>201100</v>
      </c>
      <c r="G147" s="7">
        <v>145000</v>
      </c>
      <c r="H147" s="7"/>
      <c r="I147" s="7">
        <f>dataset!$F147-dataset!$J147-dataset!$G147-dataset!$H147</f>
        <v>44500</v>
      </c>
      <c r="J147" s="7">
        <f>dataset!$G147*0.08</f>
        <v>11600</v>
      </c>
      <c r="K147" s="7">
        <f>dataset!$F147*12</f>
        <v>2413200</v>
      </c>
      <c r="L147" s="12">
        <f>IF(dataset!$G147&gt;=200000,38%,IF(dataset!$G147&lt;=145000,12.3%,))</f>
        <v>0.12300000000000001</v>
      </c>
      <c r="M147" s="7">
        <f>dataset!$G147*L148*12</f>
        <v>214020</v>
      </c>
      <c r="N14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47" s="7">
        <f>dataset!$K147+dataset!$M147</f>
        <v>2627220</v>
      </c>
      <c r="P147" s="7">
        <f>Payroll_Data_Analysis[[#This Row],[Annual Salary + KPI Bonus]]/12/29.3*31</f>
        <v>231637.71331058021</v>
      </c>
      <c r="Q147" s="7">
        <f>IF(Payroll_Data_Analysis[[#This Row],[Vacation Reserve]]&lt;=2979000,Payroll_Data_Analysis[[#This Row],[Vacation Reserve]]*0.302,2979000*0.302+(Payroll_Data_Analysis[[#This Row],[Vacation Reserve]]-2979000)*0.151)</f>
        <v>69954.589419795215</v>
      </c>
      <c r="R147" s="7">
        <f>Payroll_Data_Analysis[[#This Row],[Monthly Salary]]*11</f>
        <v>2212100</v>
      </c>
      <c r="S147" s="7">
        <f>IF(Payroll_Data_Analysis[[#This Row],[11-Month Salary]]&lt;=2979000,Payroll_Data_Analysis[[#This Row],[11-Month Salary]]*0.302,2979000*0.302+(Payroll_Data_Analysis[[#This Row],[11-Month Salary]]-2979000)*0.151)</f>
        <v>668054.19999999995</v>
      </c>
      <c r="T147" s="7">
        <f>IF(Payroll_Data_Analysis[[#This Row],[Base Salary (Monthly)]]&gt;=200000,69507,IF(Payroll_Data_Analysis[[#This Row],[Base Salary (Monthly)]]&gt;=145000,52684,35103))</f>
        <v>52684</v>
      </c>
      <c r="U147" s="7">
        <f>Payroll_Data_Analysis[[#This Row],[Annual KPI Bonus Reserve]]+Payroll_Data_Analysis[[#This Row],[Vacation Reserve]]+Payroll_Data_Analysis[[#This Row],[11-Month Salary]]</f>
        <v>2657757.7133105802</v>
      </c>
      <c r="V147" s="7">
        <f>Payroll_Data_Analysis[[#This Row],[Payroll Taxes (KPI Bonus)]]+Payroll_Data_Analysis[[#This Row],[Payroll Taxes (Vacation)]]+Payroll_Data_Analysis[[#This Row],[Payroll Taxes (Salary)]]</f>
        <v>802642.82941979519</v>
      </c>
      <c r="W147" s="13">
        <f>Payroll_Data_Analysis[[#This Row],[Total Payroll]]+Payroll_Data_Analysis[[#This Row],[Total Payroll Taxes]]</f>
        <v>3460400.5427303752</v>
      </c>
    </row>
    <row r="148" spans="1:23">
      <c r="A148" s="11" t="s">
        <v>652</v>
      </c>
      <c r="B148" s="5" t="s">
        <v>151</v>
      </c>
      <c r="C148" s="5" t="s">
        <v>704</v>
      </c>
      <c r="D148" s="28" t="str">
        <f>VLOOKUP(Payroll_Data_Analysis[[#This Row],[Position]],Position_Map!$A$2:$B$58,2,FALSE)</f>
        <v>Management</v>
      </c>
      <c r="E148" s="6">
        <v>1</v>
      </c>
      <c r="F148" s="7">
        <v>148000</v>
      </c>
      <c r="G148" s="7">
        <v>100000</v>
      </c>
      <c r="H148" s="7"/>
      <c r="I148" s="7">
        <f>dataset!$F148-dataset!$J148-dataset!$G148-dataset!$H148</f>
        <v>40000</v>
      </c>
      <c r="J148" s="7">
        <f>dataset!$G148*0.08</f>
        <v>8000</v>
      </c>
      <c r="K148" s="7">
        <f>dataset!$F148*12</f>
        <v>1776000</v>
      </c>
      <c r="L148" s="12">
        <f>IF(dataset!$G148&gt;=200000,38%,IF(dataset!$G148&lt;=145000,12.3%,))</f>
        <v>0.12300000000000001</v>
      </c>
      <c r="M148" s="7">
        <f>dataset!$G148*L149*12</f>
        <v>147600.00000000003</v>
      </c>
      <c r="N14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48" s="7">
        <f>dataset!$K148+dataset!$M148</f>
        <v>1923600</v>
      </c>
      <c r="P148" s="7">
        <f>Payroll_Data_Analysis[[#This Row],[Annual Salary + KPI Bonus]]/12/29.3*31</f>
        <v>169600.68259385665</v>
      </c>
      <c r="Q148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148" s="7">
        <f>Payroll_Data_Analysis[[#This Row],[Monthly Salary]]*11</f>
        <v>1628000</v>
      </c>
      <c r="S148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148" s="7">
        <f>IF(Payroll_Data_Analysis[[#This Row],[Base Salary (Monthly)]]&gt;=200000,69507,IF(Payroll_Data_Analysis[[#This Row],[Base Salary (Monthly)]]&gt;=145000,52684,35103))</f>
        <v>35103</v>
      </c>
      <c r="U148" s="7">
        <f>Payroll_Data_Analysis[[#This Row],[Annual KPI Bonus Reserve]]+Payroll_Data_Analysis[[#This Row],[Vacation Reserve]]+Payroll_Data_Analysis[[#This Row],[11-Month Salary]]</f>
        <v>1945200.6825938567</v>
      </c>
      <c r="V148" s="7">
        <f>Payroll_Data_Analysis[[#This Row],[Payroll Taxes (KPI Bonus)]]+Payroll_Data_Analysis[[#This Row],[Payroll Taxes (Vacation)]]+Payroll_Data_Analysis[[#This Row],[Payroll Taxes (Salary)]]</f>
        <v>587450.60614334466</v>
      </c>
      <c r="W148" s="13">
        <f>Payroll_Data_Analysis[[#This Row],[Total Payroll]]+Payroll_Data_Analysis[[#This Row],[Total Payroll Taxes]]</f>
        <v>2532651.2887372011</v>
      </c>
    </row>
    <row r="149" spans="1:23">
      <c r="A149" s="11" t="s">
        <v>652</v>
      </c>
      <c r="B149" s="5" t="s">
        <v>152</v>
      </c>
      <c r="C149" s="5" t="s">
        <v>708</v>
      </c>
      <c r="D149" s="28" t="str">
        <f>VLOOKUP(Payroll_Data_Analysis[[#This Row],[Position]],Position_Map!$A$2:$B$58,2,FALSE)</f>
        <v>Professional</v>
      </c>
      <c r="E149" s="6">
        <v>1</v>
      </c>
      <c r="F149" s="7">
        <v>148000</v>
      </c>
      <c r="G149" s="7">
        <v>100000</v>
      </c>
      <c r="H149" s="7"/>
      <c r="I149" s="7">
        <f>dataset!$F149-dataset!$J149-dataset!$G149-dataset!$H149</f>
        <v>40000</v>
      </c>
      <c r="J149" s="7">
        <f>dataset!$G149*0.08</f>
        <v>8000</v>
      </c>
      <c r="K149" s="7">
        <f>dataset!$F149*12</f>
        <v>1776000</v>
      </c>
      <c r="L149" s="12">
        <f>IF(dataset!$G149&gt;=200000,38%,IF(dataset!$G149&lt;=145000,12.3%,))</f>
        <v>0.12300000000000001</v>
      </c>
      <c r="M149" s="7">
        <f>dataset!$G149*L150*12</f>
        <v>147600.00000000003</v>
      </c>
      <c r="N14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49" s="7">
        <f>dataset!$K149+dataset!$M149</f>
        <v>1923600</v>
      </c>
      <c r="P149" s="7">
        <f>Payroll_Data_Analysis[[#This Row],[Annual Salary + KPI Bonus]]/12/29.3*31</f>
        <v>169600.68259385665</v>
      </c>
      <c r="Q149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149" s="7">
        <f>Payroll_Data_Analysis[[#This Row],[Monthly Salary]]*11</f>
        <v>1628000</v>
      </c>
      <c r="S149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149" s="7">
        <f>IF(Payroll_Data_Analysis[[#This Row],[Base Salary (Monthly)]]&gt;=200000,69507,IF(Payroll_Data_Analysis[[#This Row],[Base Salary (Monthly)]]&gt;=145000,52684,35103))</f>
        <v>35103</v>
      </c>
      <c r="U149" s="7">
        <f>Payroll_Data_Analysis[[#This Row],[Annual KPI Bonus Reserve]]+Payroll_Data_Analysis[[#This Row],[Vacation Reserve]]+Payroll_Data_Analysis[[#This Row],[11-Month Salary]]</f>
        <v>1945200.6825938567</v>
      </c>
      <c r="V149" s="7">
        <f>Payroll_Data_Analysis[[#This Row],[Payroll Taxes (KPI Bonus)]]+Payroll_Data_Analysis[[#This Row],[Payroll Taxes (Vacation)]]+Payroll_Data_Analysis[[#This Row],[Payroll Taxes (Salary)]]</f>
        <v>587450.60614334466</v>
      </c>
      <c r="W149" s="13">
        <f>Payroll_Data_Analysis[[#This Row],[Total Payroll]]+Payroll_Data_Analysis[[#This Row],[Total Payroll Taxes]]</f>
        <v>2532651.2887372011</v>
      </c>
    </row>
    <row r="150" spans="1:23">
      <c r="A150" s="11" t="s">
        <v>652</v>
      </c>
      <c r="B150" s="5" t="s">
        <v>153</v>
      </c>
      <c r="C150" s="5" t="s">
        <v>705</v>
      </c>
      <c r="D150" s="28" t="str">
        <f>VLOOKUP(Payroll_Data_Analysis[[#This Row],[Position]],Position_Map!$A$2:$B$58,2,FALSE)</f>
        <v>Professional</v>
      </c>
      <c r="E150" s="6">
        <v>1</v>
      </c>
      <c r="F150" s="7">
        <v>109800</v>
      </c>
      <c r="G150" s="7">
        <v>80000</v>
      </c>
      <c r="H150" s="7"/>
      <c r="I150" s="7">
        <f>dataset!$F150-dataset!$J150-dataset!$G150-dataset!$H150</f>
        <v>23400</v>
      </c>
      <c r="J150" s="7">
        <f>dataset!$G150*0.08</f>
        <v>6400</v>
      </c>
      <c r="K150" s="7">
        <f>dataset!$F150*12</f>
        <v>1317600</v>
      </c>
      <c r="L150" s="12">
        <f>IF(dataset!$G150&gt;=200000,38%,IF(dataset!$G150&lt;=145000,12.3%,))</f>
        <v>0.12300000000000001</v>
      </c>
      <c r="M150" s="7">
        <f>dataset!$G150*L151*12</f>
        <v>118080.00000000003</v>
      </c>
      <c r="N150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50" s="7">
        <f>dataset!$K150+dataset!$M150</f>
        <v>1435680</v>
      </c>
      <c r="P150" s="7">
        <f>Payroll_Data_Analysis[[#This Row],[Annual Salary + KPI Bonus]]/12/29.3*31</f>
        <v>126581.56996587031</v>
      </c>
      <c r="Q150" s="7">
        <f>IF(Payroll_Data_Analysis[[#This Row],[Vacation Reserve]]&lt;=2979000,Payroll_Data_Analysis[[#This Row],[Vacation Reserve]]*0.302,2979000*0.302+(Payroll_Data_Analysis[[#This Row],[Vacation Reserve]]-2979000)*0.151)</f>
        <v>38227.634129692829</v>
      </c>
      <c r="R150" s="7">
        <f>Payroll_Data_Analysis[[#This Row],[Monthly Salary]]*11</f>
        <v>1207800</v>
      </c>
      <c r="S150" s="7">
        <f>IF(Payroll_Data_Analysis[[#This Row],[11-Month Salary]]&lt;=2979000,Payroll_Data_Analysis[[#This Row],[11-Month Salary]]*0.302,2979000*0.302+(Payroll_Data_Analysis[[#This Row],[11-Month Salary]]-2979000)*0.151)</f>
        <v>364755.6</v>
      </c>
      <c r="T150" s="7">
        <f>IF(Payroll_Data_Analysis[[#This Row],[Base Salary (Monthly)]]&gt;=200000,69507,IF(Payroll_Data_Analysis[[#This Row],[Base Salary (Monthly)]]&gt;=145000,52684,35103))</f>
        <v>35103</v>
      </c>
      <c r="U150" s="7">
        <f>Payroll_Data_Analysis[[#This Row],[Annual KPI Bonus Reserve]]+Payroll_Data_Analysis[[#This Row],[Vacation Reserve]]+Payroll_Data_Analysis[[#This Row],[11-Month Salary]]</f>
        <v>1452461.5699658704</v>
      </c>
      <c r="V150" s="7">
        <f>Payroll_Data_Analysis[[#This Row],[Payroll Taxes (KPI Bonus)]]+Payroll_Data_Analysis[[#This Row],[Payroll Taxes (Vacation)]]+Payroll_Data_Analysis[[#This Row],[Payroll Taxes (Salary)]]</f>
        <v>438643.39412969281</v>
      </c>
      <c r="W150" s="13">
        <f>Payroll_Data_Analysis[[#This Row],[Total Payroll]]+Payroll_Data_Analysis[[#This Row],[Total Payroll Taxes]]</f>
        <v>1891104.9640955632</v>
      </c>
    </row>
    <row r="151" spans="1:23">
      <c r="A151" s="11" t="s">
        <v>652</v>
      </c>
      <c r="B151" s="5" t="s">
        <v>154</v>
      </c>
      <c r="C151" s="5" t="s">
        <v>720</v>
      </c>
      <c r="D151" s="28" t="str">
        <f>VLOOKUP(Payroll_Data_Analysis[[#This Row],[Position]],Position_Map!$A$2:$B$58,2,FALSE)</f>
        <v>Technical</v>
      </c>
      <c r="E151" s="6">
        <v>1</v>
      </c>
      <c r="F151" s="7">
        <v>96400</v>
      </c>
      <c r="G151" s="7">
        <v>80000</v>
      </c>
      <c r="H151" s="7"/>
      <c r="I151" s="7">
        <f>dataset!$F151-dataset!$J151-dataset!$G151-dataset!$H151</f>
        <v>10000</v>
      </c>
      <c r="J151" s="7">
        <f>dataset!$G151*0.08</f>
        <v>6400</v>
      </c>
      <c r="K151" s="7">
        <f>dataset!$F151*12</f>
        <v>1156800</v>
      </c>
      <c r="L151" s="12">
        <f>IF(dataset!$G151&gt;=200000,38%,IF(dataset!$G151&lt;=145000,12.3%,))</f>
        <v>0.12300000000000001</v>
      </c>
      <c r="M151" s="7">
        <f>dataset!$G151*L152*12</f>
        <v>118080.00000000003</v>
      </c>
      <c r="N151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51" s="7">
        <f>dataset!$K151+dataset!$M151</f>
        <v>1274880</v>
      </c>
      <c r="P151" s="7">
        <f>Payroll_Data_Analysis[[#This Row],[Annual Salary + KPI Bonus]]/12/29.3*31</f>
        <v>112404.09556313993</v>
      </c>
      <c r="Q151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51" s="7">
        <f>Payroll_Data_Analysis[[#This Row],[Monthly Salary]]*11</f>
        <v>1060400</v>
      </c>
      <c r="S151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51" s="7">
        <f>IF(Payroll_Data_Analysis[[#This Row],[Base Salary (Monthly)]]&gt;=200000,69507,IF(Payroll_Data_Analysis[[#This Row],[Base Salary (Monthly)]]&gt;=145000,52684,35103))</f>
        <v>35103</v>
      </c>
      <c r="U151" s="7">
        <f>Payroll_Data_Analysis[[#This Row],[Annual KPI Bonus Reserve]]+Payroll_Data_Analysis[[#This Row],[Vacation Reserve]]+Payroll_Data_Analysis[[#This Row],[11-Month Salary]]</f>
        <v>1290884.09556314</v>
      </c>
      <c r="V151" s="7">
        <f>Payroll_Data_Analysis[[#This Row],[Payroll Taxes (KPI Bonus)]]+Payroll_Data_Analysis[[#This Row],[Payroll Taxes (Vacation)]]+Payroll_Data_Analysis[[#This Row],[Payroll Taxes (Salary)]]</f>
        <v>389846.99686006829</v>
      </c>
      <c r="W151" s="13">
        <f>Payroll_Data_Analysis[[#This Row],[Total Payroll]]+Payroll_Data_Analysis[[#This Row],[Total Payroll Taxes]]</f>
        <v>1680731.0924232083</v>
      </c>
    </row>
    <row r="152" spans="1:23">
      <c r="A152" s="11" t="s">
        <v>652</v>
      </c>
      <c r="B152" s="5" t="s">
        <v>155</v>
      </c>
      <c r="C152" s="5" t="s">
        <v>720</v>
      </c>
      <c r="D152" s="28" t="str">
        <f>VLOOKUP(Payroll_Data_Analysis[[#This Row],[Position]],Position_Map!$A$2:$B$58,2,FALSE)</f>
        <v>Technical</v>
      </c>
      <c r="E152" s="6">
        <v>1</v>
      </c>
      <c r="F152" s="7">
        <v>96400</v>
      </c>
      <c r="G152" s="7">
        <v>80000</v>
      </c>
      <c r="H152" s="7"/>
      <c r="I152" s="7">
        <f>dataset!$F152-dataset!$J152-dataset!$G152-dataset!$H152</f>
        <v>10000</v>
      </c>
      <c r="J152" s="7">
        <f>dataset!$G152*0.08</f>
        <v>6400</v>
      </c>
      <c r="K152" s="7">
        <f>dataset!$F152*12</f>
        <v>1156800</v>
      </c>
      <c r="L152" s="12">
        <f>IF(dataset!$G152&gt;=200000,38%,IF(dataset!$G152&lt;=145000,12.3%,))</f>
        <v>0.12300000000000001</v>
      </c>
      <c r="M152" s="7">
        <f>dataset!$G152*L153*12</f>
        <v>118080.00000000003</v>
      </c>
      <c r="N15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52" s="7">
        <f>dataset!$K152+dataset!$M152</f>
        <v>1274880</v>
      </c>
      <c r="P152" s="7">
        <f>Payroll_Data_Analysis[[#This Row],[Annual Salary + KPI Bonus]]/12/29.3*31</f>
        <v>112404.09556313993</v>
      </c>
      <c r="Q152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52" s="7">
        <f>Payroll_Data_Analysis[[#This Row],[Monthly Salary]]*11</f>
        <v>1060400</v>
      </c>
      <c r="S152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52" s="7">
        <f>IF(Payroll_Data_Analysis[[#This Row],[Base Salary (Monthly)]]&gt;=200000,69507,IF(Payroll_Data_Analysis[[#This Row],[Base Salary (Monthly)]]&gt;=145000,52684,35103))</f>
        <v>35103</v>
      </c>
      <c r="U152" s="7">
        <f>Payroll_Data_Analysis[[#This Row],[Annual KPI Bonus Reserve]]+Payroll_Data_Analysis[[#This Row],[Vacation Reserve]]+Payroll_Data_Analysis[[#This Row],[11-Month Salary]]</f>
        <v>1290884.09556314</v>
      </c>
      <c r="V152" s="7">
        <f>Payroll_Data_Analysis[[#This Row],[Payroll Taxes (KPI Bonus)]]+Payroll_Data_Analysis[[#This Row],[Payroll Taxes (Vacation)]]+Payroll_Data_Analysis[[#This Row],[Payroll Taxes (Salary)]]</f>
        <v>389846.99686006829</v>
      </c>
      <c r="W152" s="13">
        <f>Payroll_Data_Analysis[[#This Row],[Total Payroll]]+Payroll_Data_Analysis[[#This Row],[Total Payroll Taxes]]</f>
        <v>1680731.0924232083</v>
      </c>
    </row>
    <row r="153" spans="1:23">
      <c r="A153" s="11" t="s">
        <v>652</v>
      </c>
      <c r="B153" s="5" t="s">
        <v>156</v>
      </c>
      <c r="C153" s="5" t="s">
        <v>720</v>
      </c>
      <c r="D153" s="28" t="str">
        <f>VLOOKUP(Payroll_Data_Analysis[[#This Row],[Position]],Position_Map!$A$2:$B$58,2,FALSE)</f>
        <v>Technical</v>
      </c>
      <c r="E153" s="6">
        <v>1</v>
      </c>
      <c r="F153" s="7">
        <v>96400</v>
      </c>
      <c r="G153" s="7">
        <v>80000</v>
      </c>
      <c r="H153" s="7"/>
      <c r="I153" s="7">
        <f>dataset!$F153-dataset!$J153-dataset!$G153-dataset!$H153</f>
        <v>10000</v>
      </c>
      <c r="J153" s="7">
        <f>dataset!$G153*0.08</f>
        <v>6400</v>
      </c>
      <c r="K153" s="7">
        <f>dataset!$F153*12</f>
        <v>1156800</v>
      </c>
      <c r="L153" s="12">
        <f>IF(dataset!$G153&gt;=200000,38%,IF(dataset!$G153&lt;=145000,12.3%,))</f>
        <v>0.12300000000000001</v>
      </c>
      <c r="M153" s="7">
        <f>dataset!$G153*L154*12</f>
        <v>118080.00000000003</v>
      </c>
      <c r="N15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53" s="7">
        <f>dataset!$K153+dataset!$M153</f>
        <v>1274880</v>
      </c>
      <c r="P153" s="7">
        <f>Payroll_Data_Analysis[[#This Row],[Annual Salary + KPI Bonus]]/12/29.3*31</f>
        <v>112404.09556313993</v>
      </c>
      <c r="Q153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53" s="7">
        <f>Payroll_Data_Analysis[[#This Row],[Monthly Salary]]*11</f>
        <v>1060400</v>
      </c>
      <c r="S153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53" s="7">
        <f>IF(Payroll_Data_Analysis[[#This Row],[Base Salary (Monthly)]]&gt;=200000,69507,IF(Payroll_Data_Analysis[[#This Row],[Base Salary (Monthly)]]&gt;=145000,52684,35103))</f>
        <v>35103</v>
      </c>
      <c r="U153" s="7">
        <f>Payroll_Data_Analysis[[#This Row],[Annual KPI Bonus Reserve]]+Payroll_Data_Analysis[[#This Row],[Vacation Reserve]]+Payroll_Data_Analysis[[#This Row],[11-Month Salary]]</f>
        <v>1290884.09556314</v>
      </c>
      <c r="V153" s="7">
        <f>Payroll_Data_Analysis[[#This Row],[Payroll Taxes (KPI Bonus)]]+Payroll_Data_Analysis[[#This Row],[Payroll Taxes (Vacation)]]+Payroll_Data_Analysis[[#This Row],[Payroll Taxes (Salary)]]</f>
        <v>389846.99686006829</v>
      </c>
      <c r="W153" s="13">
        <f>Payroll_Data_Analysis[[#This Row],[Total Payroll]]+Payroll_Data_Analysis[[#This Row],[Total Payroll Taxes]]</f>
        <v>1680731.0924232083</v>
      </c>
    </row>
    <row r="154" spans="1:23">
      <c r="A154" s="11" t="s">
        <v>652</v>
      </c>
      <c r="B154" s="5" t="s">
        <v>157</v>
      </c>
      <c r="C154" s="5" t="s">
        <v>720</v>
      </c>
      <c r="D154" s="28" t="str">
        <f>VLOOKUP(Payroll_Data_Analysis[[#This Row],[Position]],Position_Map!$A$2:$B$58,2,FALSE)</f>
        <v>Technical</v>
      </c>
      <c r="E154" s="6">
        <v>1</v>
      </c>
      <c r="F154" s="7">
        <v>96400</v>
      </c>
      <c r="G154" s="7">
        <v>80000</v>
      </c>
      <c r="H154" s="7"/>
      <c r="I154" s="7">
        <f>dataset!$F154-dataset!$J154-dataset!$G154-dataset!$H154</f>
        <v>10000</v>
      </c>
      <c r="J154" s="7">
        <f>dataset!$G154*0.08</f>
        <v>6400</v>
      </c>
      <c r="K154" s="7">
        <f>dataset!$F154*12</f>
        <v>1156800</v>
      </c>
      <c r="L154" s="12">
        <f>IF(dataset!$G154&gt;=200000,38%,IF(dataset!$G154&lt;=145000,12.3%,))</f>
        <v>0.12300000000000001</v>
      </c>
      <c r="M154" s="7">
        <f>dataset!$G154*L155*12</f>
        <v>118080.00000000003</v>
      </c>
      <c r="N15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54" s="7">
        <f>dataset!$K154+dataset!$M154</f>
        <v>1274880</v>
      </c>
      <c r="P154" s="7">
        <f>Payroll_Data_Analysis[[#This Row],[Annual Salary + KPI Bonus]]/12/29.3*31</f>
        <v>112404.09556313993</v>
      </c>
      <c r="Q154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54" s="7">
        <f>Payroll_Data_Analysis[[#This Row],[Monthly Salary]]*11</f>
        <v>1060400</v>
      </c>
      <c r="S154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54" s="7">
        <f>IF(Payroll_Data_Analysis[[#This Row],[Base Salary (Monthly)]]&gt;=200000,69507,IF(Payroll_Data_Analysis[[#This Row],[Base Salary (Monthly)]]&gt;=145000,52684,35103))</f>
        <v>35103</v>
      </c>
      <c r="U154" s="7">
        <f>Payroll_Data_Analysis[[#This Row],[Annual KPI Bonus Reserve]]+Payroll_Data_Analysis[[#This Row],[Vacation Reserve]]+Payroll_Data_Analysis[[#This Row],[11-Month Salary]]</f>
        <v>1290884.09556314</v>
      </c>
      <c r="V154" s="7">
        <f>Payroll_Data_Analysis[[#This Row],[Payroll Taxes (KPI Bonus)]]+Payroll_Data_Analysis[[#This Row],[Payroll Taxes (Vacation)]]+Payroll_Data_Analysis[[#This Row],[Payroll Taxes (Salary)]]</f>
        <v>389846.99686006829</v>
      </c>
      <c r="W154" s="13">
        <f>Payroll_Data_Analysis[[#This Row],[Total Payroll]]+Payroll_Data_Analysis[[#This Row],[Total Payroll Taxes]]</f>
        <v>1680731.0924232083</v>
      </c>
    </row>
    <row r="155" spans="1:23">
      <c r="A155" s="11" t="s">
        <v>652</v>
      </c>
      <c r="B155" s="5" t="s">
        <v>158</v>
      </c>
      <c r="C155" s="5" t="s">
        <v>720</v>
      </c>
      <c r="D155" s="28" t="str">
        <f>VLOOKUP(Payroll_Data_Analysis[[#This Row],[Position]],Position_Map!$A$2:$B$58,2,FALSE)</f>
        <v>Technical</v>
      </c>
      <c r="E155" s="6">
        <v>1</v>
      </c>
      <c r="F155" s="7">
        <v>96400</v>
      </c>
      <c r="G155" s="7">
        <v>80000</v>
      </c>
      <c r="H155" s="7"/>
      <c r="I155" s="7">
        <f>dataset!$F155-dataset!$J155-dataset!$G155-dataset!$H155</f>
        <v>10000</v>
      </c>
      <c r="J155" s="7">
        <f>dataset!$G155*0.08</f>
        <v>6400</v>
      </c>
      <c r="K155" s="7">
        <f>dataset!$F155*12</f>
        <v>1156800</v>
      </c>
      <c r="L155" s="12">
        <f>IF(dataset!$G155&gt;=200000,38%,IF(dataset!$G155&lt;=145000,12.3%,))</f>
        <v>0.12300000000000001</v>
      </c>
      <c r="M155" s="7">
        <f>dataset!$G155*L156*12</f>
        <v>364800</v>
      </c>
      <c r="N155" s="7">
        <f>IF(Payroll_Data_Analysis[[#This Row],[Annual KPI Bonus Reserve]]&lt;=2979000,Payroll_Data_Analysis[[#This Row],[Annual KPI Bonus Reserve]]*0.302,2979000*0.302+(Payroll_Data_Analysis[[#This Row],[Annual KPI Bonus Reserve]]-2979000)*0.151)</f>
        <v>110169.59999999999</v>
      </c>
      <c r="O155" s="7">
        <f>dataset!$K155+dataset!$M155</f>
        <v>1521600</v>
      </c>
      <c r="P155" s="7">
        <f>Payroll_Data_Analysis[[#This Row],[Annual Salary + KPI Bonus]]/12/29.3*31</f>
        <v>134156.99658703074</v>
      </c>
      <c r="Q155" s="7">
        <f>IF(Payroll_Data_Analysis[[#This Row],[Vacation Reserve]]&lt;=2979000,Payroll_Data_Analysis[[#This Row],[Vacation Reserve]]*0.302,2979000*0.302+(Payroll_Data_Analysis[[#This Row],[Vacation Reserve]]-2979000)*0.151)</f>
        <v>40515.412969283279</v>
      </c>
      <c r="R155" s="7">
        <f>Payroll_Data_Analysis[[#This Row],[Monthly Salary]]*11</f>
        <v>1060400</v>
      </c>
      <c r="S155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55" s="7">
        <f>IF(Payroll_Data_Analysis[[#This Row],[Base Salary (Monthly)]]&gt;=200000,69507,IF(Payroll_Data_Analysis[[#This Row],[Base Salary (Monthly)]]&gt;=145000,52684,35103))</f>
        <v>35103</v>
      </c>
      <c r="U155" s="7">
        <f>Payroll_Data_Analysis[[#This Row],[Annual KPI Bonus Reserve]]+Payroll_Data_Analysis[[#This Row],[Vacation Reserve]]+Payroll_Data_Analysis[[#This Row],[11-Month Salary]]</f>
        <v>1559356.9965870306</v>
      </c>
      <c r="V155" s="7">
        <f>Payroll_Data_Analysis[[#This Row],[Payroll Taxes (KPI Bonus)]]+Payroll_Data_Analysis[[#This Row],[Payroll Taxes (Vacation)]]+Payroll_Data_Analysis[[#This Row],[Payroll Taxes (Salary)]]</f>
        <v>470925.81296928326</v>
      </c>
      <c r="W155" s="13">
        <f>Payroll_Data_Analysis[[#This Row],[Total Payroll]]+Payroll_Data_Analysis[[#This Row],[Total Payroll Taxes]]</f>
        <v>2030282.8095563138</v>
      </c>
    </row>
    <row r="156" spans="1:23">
      <c r="A156" s="11" t="s">
        <v>653</v>
      </c>
      <c r="B156" s="5" t="s">
        <v>159</v>
      </c>
      <c r="C156" s="5" t="s">
        <v>706</v>
      </c>
      <c r="D156" s="28" t="str">
        <f>VLOOKUP(Payroll_Data_Analysis[[#This Row],[Position]],Position_Map!$A$2:$B$58,2,FALSE)</f>
        <v>Management</v>
      </c>
      <c r="E156" s="6">
        <v>1</v>
      </c>
      <c r="F156" s="7">
        <v>301000</v>
      </c>
      <c r="G156" s="7">
        <v>200000</v>
      </c>
      <c r="H156" s="7"/>
      <c r="I156" s="7">
        <f>dataset!$F156-dataset!$J156-dataset!$G156-dataset!$H156</f>
        <v>85000</v>
      </c>
      <c r="J156" s="7">
        <f>dataset!$G156*0.08</f>
        <v>16000</v>
      </c>
      <c r="K156" s="7">
        <f>dataset!$F156*12</f>
        <v>3612000</v>
      </c>
      <c r="L156" s="12">
        <f>IF(dataset!$G156&gt;=200000,38%,IF(dataset!$G156&lt;=145000,12.3%,))</f>
        <v>0.38</v>
      </c>
      <c r="M156" s="7">
        <f>dataset!$G156*L157*12</f>
        <v>295200.00000000006</v>
      </c>
      <c r="N156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156" s="7">
        <f>dataset!$K156+dataset!$M156</f>
        <v>3907200</v>
      </c>
      <c r="P156" s="7">
        <f>Payroll_Data_Analysis[[#This Row],[Annual Salary + KPI Bonus]]/12/29.3*31</f>
        <v>344491.46757679182</v>
      </c>
      <c r="Q156" s="7">
        <f>IF(Payroll_Data_Analysis[[#This Row],[Vacation Reserve]]&lt;=2979000,Payroll_Data_Analysis[[#This Row],[Vacation Reserve]]*0.302,2979000*0.302+(Payroll_Data_Analysis[[#This Row],[Vacation Reserve]]-2979000)*0.151)</f>
        <v>104036.42320819113</v>
      </c>
      <c r="R156" s="7">
        <f>Payroll_Data_Analysis[[#This Row],[Monthly Salary]]*11</f>
        <v>3311000</v>
      </c>
      <c r="S156" s="7">
        <f>IF(Payroll_Data_Analysis[[#This Row],[11-Month Salary]]&lt;=2979000,Payroll_Data_Analysis[[#This Row],[11-Month Salary]]*0.302,2979000*0.302+(Payroll_Data_Analysis[[#This Row],[11-Month Salary]]-2979000)*0.151)</f>
        <v>949790</v>
      </c>
      <c r="T156" s="7">
        <f>IF(Payroll_Data_Analysis[[#This Row],[Base Salary (Monthly)]]&gt;=200000,69507,IF(Payroll_Data_Analysis[[#This Row],[Base Salary (Monthly)]]&gt;=145000,52684,35103))</f>
        <v>69507</v>
      </c>
      <c r="U156" s="7">
        <f>Payroll_Data_Analysis[[#This Row],[Annual KPI Bonus Reserve]]+Payroll_Data_Analysis[[#This Row],[Vacation Reserve]]+Payroll_Data_Analysis[[#This Row],[11-Month Salary]]</f>
        <v>3950691.467576792</v>
      </c>
      <c r="V156" s="7">
        <f>Payroll_Data_Analysis[[#This Row],[Payroll Taxes (KPI Bonus)]]+Payroll_Data_Analysis[[#This Row],[Payroll Taxes (Vacation)]]+Payroll_Data_Analysis[[#This Row],[Payroll Taxes (Salary)]]</f>
        <v>1142976.8232081912</v>
      </c>
      <c r="W156" s="13">
        <f>Payroll_Data_Analysis[[#This Row],[Total Payroll]]+Payroll_Data_Analysis[[#This Row],[Total Payroll Taxes]]</f>
        <v>5093668.290784983</v>
      </c>
    </row>
    <row r="157" spans="1:23">
      <c r="A157" s="11" t="s">
        <v>653</v>
      </c>
      <c r="B157" s="5" t="s">
        <v>160</v>
      </c>
      <c r="C157" s="5" t="s">
        <v>717</v>
      </c>
      <c r="D157" s="28" t="str">
        <f>VLOOKUP(Payroll_Data_Analysis[[#This Row],[Position]],Position_Map!$A$2:$B$58,2,FALSE)</f>
        <v>Engineering</v>
      </c>
      <c r="E157" s="6">
        <v>1</v>
      </c>
      <c r="F157" s="7">
        <v>211600</v>
      </c>
      <c r="G157" s="7">
        <v>145000</v>
      </c>
      <c r="H157" s="7"/>
      <c r="I157" s="7">
        <f>dataset!$F157-dataset!$J157-dataset!$G157-dataset!$H157</f>
        <v>55000</v>
      </c>
      <c r="J157" s="7">
        <f>dataset!$G157*0.08</f>
        <v>11600</v>
      </c>
      <c r="K157" s="7">
        <f>dataset!$F157*12</f>
        <v>2539200</v>
      </c>
      <c r="L157" s="12">
        <f>IF(dataset!$G157&gt;=200000,38%,IF(dataset!$G157&lt;=145000,12.3%,))</f>
        <v>0.12300000000000001</v>
      </c>
      <c r="M157" s="7">
        <f>dataset!$G157*L158*12</f>
        <v>214020</v>
      </c>
      <c r="N15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57" s="7">
        <f>dataset!$K157+dataset!$M157</f>
        <v>2753220</v>
      </c>
      <c r="P157" s="7">
        <f>Payroll_Data_Analysis[[#This Row],[Annual Salary + KPI Bonus]]/12/29.3*31</f>
        <v>242746.92832764506</v>
      </c>
      <c r="Q157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157" s="7">
        <f>Payroll_Data_Analysis[[#This Row],[Monthly Salary]]*11</f>
        <v>2327600</v>
      </c>
      <c r="S157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157" s="7">
        <f>IF(Payroll_Data_Analysis[[#This Row],[Base Salary (Monthly)]]&gt;=200000,69507,IF(Payroll_Data_Analysis[[#This Row],[Base Salary (Monthly)]]&gt;=145000,52684,35103))</f>
        <v>52684</v>
      </c>
      <c r="U157" s="7">
        <f>Payroll_Data_Analysis[[#This Row],[Annual KPI Bonus Reserve]]+Payroll_Data_Analysis[[#This Row],[Vacation Reserve]]+Payroll_Data_Analysis[[#This Row],[11-Month Salary]]</f>
        <v>2784366.9283276452</v>
      </c>
      <c r="V157" s="7">
        <f>Payroll_Data_Analysis[[#This Row],[Payroll Taxes (KPI Bonus)]]+Payroll_Data_Analysis[[#This Row],[Payroll Taxes (Vacation)]]+Payroll_Data_Analysis[[#This Row],[Payroll Taxes (Salary)]]</f>
        <v>840878.81235494872</v>
      </c>
      <c r="W157" s="13">
        <f>Payroll_Data_Analysis[[#This Row],[Total Payroll]]+Payroll_Data_Analysis[[#This Row],[Total Payroll Taxes]]</f>
        <v>3625245.740682594</v>
      </c>
    </row>
    <row r="158" spans="1:23">
      <c r="A158" s="11" t="s">
        <v>653</v>
      </c>
      <c r="B158" s="5" t="s">
        <v>161</v>
      </c>
      <c r="C158" s="5" t="s">
        <v>699</v>
      </c>
      <c r="D158" s="28" t="str">
        <f>VLOOKUP(Payroll_Data_Analysis[[#This Row],[Position]],Position_Map!$A$2:$B$58,2,FALSE)</f>
        <v>Professional</v>
      </c>
      <c r="E158" s="6">
        <v>1</v>
      </c>
      <c r="F158" s="7">
        <v>236000</v>
      </c>
      <c r="G158" s="7">
        <v>145000</v>
      </c>
      <c r="H158" s="7"/>
      <c r="I158" s="7">
        <f>dataset!$F158-dataset!$J158-dataset!$G158-dataset!$H158</f>
        <v>79400</v>
      </c>
      <c r="J158" s="7">
        <f>dataset!$G158*0.08</f>
        <v>11600</v>
      </c>
      <c r="K158" s="7">
        <f>dataset!$F158*12</f>
        <v>2832000</v>
      </c>
      <c r="L158" s="12">
        <f>IF(dataset!$G158&gt;=200000,38%,IF(dataset!$G158&lt;=145000,12.3%,))</f>
        <v>0.12300000000000001</v>
      </c>
      <c r="M158" s="7">
        <f>dataset!$G158*L159*12</f>
        <v>214020</v>
      </c>
      <c r="N15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58" s="7">
        <f>dataset!$K158+dataset!$M158</f>
        <v>3046020</v>
      </c>
      <c r="P158" s="7">
        <f>Payroll_Data_Analysis[[#This Row],[Annual Salary + KPI Bonus]]/12/29.3*31</f>
        <v>268562.62798634812</v>
      </c>
      <c r="Q158" s="7">
        <f>IF(Payroll_Data_Analysis[[#This Row],[Vacation Reserve]]&lt;=2979000,Payroll_Data_Analysis[[#This Row],[Vacation Reserve]]*0.302,2979000*0.302+(Payroll_Data_Analysis[[#This Row],[Vacation Reserve]]-2979000)*0.151)</f>
        <v>81105.913651877127</v>
      </c>
      <c r="R158" s="7">
        <f>Payroll_Data_Analysis[[#This Row],[Monthly Salary]]*11</f>
        <v>2596000</v>
      </c>
      <c r="S158" s="7">
        <f>IF(Payroll_Data_Analysis[[#This Row],[11-Month Salary]]&lt;=2979000,Payroll_Data_Analysis[[#This Row],[11-Month Salary]]*0.302,2979000*0.302+(Payroll_Data_Analysis[[#This Row],[11-Month Salary]]-2979000)*0.151)</f>
        <v>783992</v>
      </c>
      <c r="T158" s="7">
        <f>IF(Payroll_Data_Analysis[[#This Row],[Base Salary (Monthly)]]&gt;=200000,69507,IF(Payroll_Data_Analysis[[#This Row],[Base Salary (Monthly)]]&gt;=145000,52684,35103))</f>
        <v>52684</v>
      </c>
      <c r="U158" s="7">
        <f>Payroll_Data_Analysis[[#This Row],[Annual KPI Bonus Reserve]]+Payroll_Data_Analysis[[#This Row],[Vacation Reserve]]+Payroll_Data_Analysis[[#This Row],[11-Month Salary]]</f>
        <v>3078582.6279863482</v>
      </c>
      <c r="V158" s="7">
        <f>Payroll_Data_Analysis[[#This Row],[Payroll Taxes (KPI Bonus)]]+Payroll_Data_Analysis[[#This Row],[Payroll Taxes (Vacation)]]+Payroll_Data_Analysis[[#This Row],[Payroll Taxes (Salary)]]</f>
        <v>929731.95365187712</v>
      </c>
      <c r="W158" s="13">
        <f>Payroll_Data_Analysis[[#This Row],[Total Payroll]]+Payroll_Data_Analysis[[#This Row],[Total Payroll Taxes]]</f>
        <v>4008314.5816382254</v>
      </c>
    </row>
    <row r="159" spans="1:23">
      <c r="A159" s="11" t="s">
        <v>653</v>
      </c>
      <c r="B159" s="5" t="s">
        <v>162</v>
      </c>
      <c r="C159" s="5" t="s">
        <v>699</v>
      </c>
      <c r="D159" s="28" t="str">
        <f>VLOOKUP(Payroll_Data_Analysis[[#This Row],[Position]],Position_Map!$A$2:$B$58,2,FALSE)</f>
        <v>Professional</v>
      </c>
      <c r="E159" s="6">
        <v>1</v>
      </c>
      <c r="F159" s="7">
        <v>266000</v>
      </c>
      <c r="G159" s="7">
        <v>145000</v>
      </c>
      <c r="H159" s="7"/>
      <c r="I159" s="7">
        <f>dataset!$F159-dataset!$J159-dataset!$G159-dataset!$H159</f>
        <v>109400</v>
      </c>
      <c r="J159" s="7">
        <f>dataset!$G159*0.08</f>
        <v>11600</v>
      </c>
      <c r="K159" s="7">
        <f>dataset!$F159*12</f>
        <v>3192000</v>
      </c>
      <c r="L159" s="12">
        <f>IF(dataset!$G159&gt;=200000,38%,IF(dataset!$G159&lt;=145000,12.3%,))</f>
        <v>0.12300000000000001</v>
      </c>
      <c r="M159" s="7">
        <f>dataset!$G159*L160*12</f>
        <v>214020</v>
      </c>
      <c r="N15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59" s="7">
        <f>dataset!$K159+dataset!$M159</f>
        <v>3406020</v>
      </c>
      <c r="P159" s="7">
        <f>Payroll_Data_Analysis[[#This Row],[Annual Salary + KPI Bonus]]/12/29.3*31</f>
        <v>300303.24232081912</v>
      </c>
      <c r="Q159" s="7">
        <f>IF(Payroll_Data_Analysis[[#This Row],[Vacation Reserve]]&lt;=2979000,Payroll_Data_Analysis[[#This Row],[Vacation Reserve]]*0.302,2979000*0.302+(Payroll_Data_Analysis[[#This Row],[Vacation Reserve]]-2979000)*0.151)</f>
        <v>90691.579180887376</v>
      </c>
      <c r="R159" s="7">
        <f>Payroll_Data_Analysis[[#This Row],[Monthly Salary]]*11</f>
        <v>2926000</v>
      </c>
      <c r="S159" s="7">
        <f>IF(Payroll_Data_Analysis[[#This Row],[11-Month Salary]]&lt;=2979000,Payroll_Data_Analysis[[#This Row],[11-Month Salary]]*0.302,2979000*0.302+(Payroll_Data_Analysis[[#This Row],[11-Month Salary]]-2979000)*0.151)</f>
        <v>883652</v>
      </c>
      <c r="T159" s="7">
        <f>IF(Payroll_Data_Analysis[[#This Row],[Base Salary (Monthly)]]&gt;=200000,69507,IF(Payroll_Data_Analysis[[#This Row],[Base Salary (Monthly)]]&gt;=145000,52684,35103))</f>
        <v>52684</v>
      </c>
      <c r="U159" s="7">
        <f>Payroll_Data_Analysis[[#This Row],[Annual KPI Bonus Reserve]]+Payroll_Data_Analysis[[#This Row],[Vacation Reserve]]+Payroll_Data_Analysis[[#This Row],[11-Month Salary]]</f>
        <v>3440323.2423208193</v>
      </c>
      <c r="V159" s="7">
        <f>Payroll_Data_Analysis[[#This Row],[Payroll Taxes (KPI Bonus)]]+Payroll_Data_Analysis[[#This Row],[Payroll Taxes (Vacation)]]+Payroll_Data_Analysis[[#This Row],[Payroll Taxes (Salary)]]</f>
        <v>1038977.6191808874</v>
      </c>
      <c r="W159" s="13">
        <f>Payroll_Data_Analysis[[#This Row],[Total Payroll]]+Payroll_Data_Analysis[[#This Row],[Total Payroll Taxes]]</f>
        <v>4479300.8615017068</v>
      </c>
    </row>
    <row r="160" spans="1:23">
      <c r="A160" s="11" t="s">
        <v>653</v>
      </c>
      <c r="B160" s="5" t="s">
        <v>163</v>
      </c>
      <c r="C160" s="5" t="s">
        <v>721</v>
      </c>
      <c r="D160" s="28" t="str">
        <f>VLOOKUP(Payroll_Data_Analysis[[#This Row],[Position]],Position_Map!$A$2:$B$58,2,FALSE)</f>
        <v>Administration</v>
      </c>
      <c r="E160" s="6">
        <v>1</v>
      </c>
      <c r="F160" s="7">
        <v>288000</v>
      </c>
      <c r="G160" s="7">
        <v>145000</v>
      </c>
      <c r="H160" s="7"/>
      <c r="I160" s="7">
        <f>dataset!$F160-dataset!$J160-dataset!$G160-dataset!$H160</f>
        <v>131400</v>
      </c>
      <c r="J160" s="7">
        <f>dataset!$G160*0.08</f>
        <v>11600</v>
      </c>
      <c r="K160" s="7">
        <f>dataset!$F160*12</f>
        <v>3456000</v>
      </c>
      <c r="L160" s="12">
        <f>IF(dataset!$G160&gt;=200000,38%,IF(dataset!$G160&lt;=145000,12.3%,))</f>
        <v>0.12300000000000001</v>
      </c>
      <c r="M160" s="7">
        <f>dataset!$G160*L161*12</f>
        <v>214020</v>
      </c>
      <c r="N16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60" s="7">
        <f>dataset!$K160+dataset!$M160</f>
        <v>3670020</v>
      </c>
      <c r="P160" s="7">
        <f>Payroll_Data_Analysis[[#This Row],[Annual Salary + KPI Bonus]]/12/29.3*31</f>
        <v>323579.69283276447</v>
      </c>
      <c r="Q160" s="7">
        <f>IF(Payroll_Data_Analysis[[#This Row],[Vacation Reserve]]&lt;=2979000,Payroll_Data_Analysis[[#This Row],[Vacation Reserve]]*0.302,2979000*0.302+(Payroll_Data_Analysis[[#This Row],[Vacation Reserve]]-2979000)*0.151)</f>
        <v>97721.067235494862</v>
      </c>
      <c r="R160" s="7">
        <f>Payroll_Data_Analysis[[#This Row],[Monthly Salary]]*11</f>
        <v>3168000</v>
      </c>
      <c r="S160" s="7">
        <f>IF(Payroll_Data_Analysis[[#This Row],[11-Month Salary]]&lt;=2979000,Payroll_Data_Analysis[[#This Row],[11-Month Salary]]*0.302,2979000*0.302+(Payroll_Data_Analysis[[#This Row],[11-Month Salary]]-2979000)*0.151)</f>
        <v>928197</v>
      </c>
      <c r="T160" s="7">
        <f>IF(Payroll_Data_Analysis[[#This Row],[Base Salary (Monthly)]]&gt;=200000,69507,IF(Payroll_Data_Analysis[[#This Row],[Base Salary (Monthly)]]&gt;=145000,52684,35103))</f>
        <v>52684</v>
      </c>
      <c r="U160" s="7">
        <f>Payroll_Data_Analysis[[#This Row],[Annual KPI Bonus Reserve]]+Payroll_Data_Analysis[[#This Row],[Vacation Reserve]]+Payroll_Data_Analysis[[#This Row],[11-Month Salary]]</f>
        <v>3705599.6928327642</v>
      </c>
      <c r="V160" s="7">
        <f>Payroll_Data_Analysis[[#This Row],[Payroll Taxes (KPI Bonus)]]+Payroll_Data_Analysis[[#This Row],[Payroll Taxes (Vacation)]]+Payroll_Data_Analysis[[#This Row],[Payroll Taxes (Salary)]]</f>
        <v>1090552.1072354948</v>
      </c>
      <c r="W160" s="13">
        <f>Payroll_Data_Analysis[[#This Row],[Total Payroll]]+Payroll_Data_Analysis[[#This Row],[Total Payroll Taxes]]</f>
        <v>4796151.8000682592</v>
      </c>
    </row>
    <row r="161" spans="1:23">
      <c r="A161" s="11" t="s">
        <v>653</v>
      </c>
      <c r="B161" s="5" t="s">
        <v>164</v>
      </c>
      <c r="C161" s="5" t="s">
        <v>703</v>
      </c>
      <c r="D161" s="28" t="str">
        <f>VLOOKUP(Payroll_Data_Analysis[[#This Row],[Position]],Position_Map!$A$2:$B$58,2,FALSE)</f>
        <v>Management</v>
      </c>
      <c r="E161" s="6">
        <v>1</v>
      </c>
      <c r="F161" s="7">
        <v>196600</v>
      </c>
      <c r="G161" s="7">
        <v>145000</v>
      </c>
      <c r="H161" s="7"/>
      <c r="I161" s="7">
        <f>dataset!$F161-dataset!$J161-dataset!$G161-dataset!$H161</f>
        <v>40000</v>
      </c>
      <c r="J161" s="7">
        <f>dataset!$G161*0.08</f>
        <v>11600</v>
      </c>
      <c r="K161" s="7">
        <f>dataset!$F161*12</f>
        <v>2359200</v>
      </c>
      <c r="L161" s="12">
        <f>IF(dataset!$G161&gt;=200000,38%,IF(dataset!$G161&lt;=145000,12.3%,))</f>
        <v>0.12300000000000001</v>
      </c>
      <c r="M161" s="7">
        <f>dataset!$G161*L162*12</f>
        <v>214020</v>
      </c>
      <c r="N16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61" s="7">
        <f>dataset!$K161+dataset!$M161</f>
        <v>2573220</v>
      </c>
      <c r="P161" s="7">
        <f>Payroll_Data_Analysis[[#This Row],[Annual Salary + KPI Bonus]]/12/29.3*31</f>
        <v>226876.62116040956</v>
      </c>
      <c r="Q161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161" s="7">
        <f>Payroll_Data_Analysis[[#This Row],[Monthly Salary]]*11</f>
        <v>2162600</v>
      </c>
      <c r="S161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161" s="7">
        <f>IF(Payroll_Data_Analysis[[#This Row],[Base Salary (Monthly)]]&gt;=200000,69507,IF(Payroll_Data_Analysis[[#This Row],[Base Salary (Monthly)]]&gt;=145000,52684,35103))</f>
        <v>52684</v>
      </c>
      <c r="U161" s="7">
        <f>Payroll_Data_Analysis[[#This Row],[Annual KPI Bonus Reserve]]+Payroll_Data_Analysis[[#This Row],[Vacation Reserve]]+Payroll_Data_Analysis[[#This Row],[11-Month Salary]]</f>
        <v>2603496.6211604094</v>
      </c>
      <c r="V161" s="7">
        <f>Payroll_Data_Analysis[[#This Row],[Payroll Taxes (KPI Bonus)]]+Payroll_Data_Analysis[[#This Row],[Payroll Taxes (Vacation)]]+Payroll_Data_Analysis[[#This Row],[Payroll Taxes (Salary)]]</f>
        <v>786255.97959044366</v>
      </c>
      <c r="W161" s="13">
        <f>Payroll_Data_Analysis[[#This Row],[Total Payroll]]+Payroll_Data_Analysis[[#This Row],[Total Payroll Taxes]]</f>
        <v>3389752.6007508533</v>
      </c>
    </row>
    <row r="162" spans="1:23">
      <c r="A162" s="11" t="s">
        <v>653</v>
      </c>
      <c r="B162" s="5" t="s">
        <v>165</v>
      </c>
      <c r="C162" s="5" t="s">
        <v>705</v>
      </c>
      <c r="D162" s="28" t="str">
        <f>VLOOKUP(Payroll_Data_Analysis[[#This Row],[Position]],Position_Map!$A$2:$B$58,2,FALSE)</f>
        <v>Professional</v>
      </c>
      <c r="E162" s="6">
        <v>1</v>
      </c>
      <c r="F162" s="7">
        <v>178000</v>
      </c>
      <c r="G162" s="7">
        <v>100000</v>
      </c>
      <c r="H162" s="7"/>
      <c r="I162" s="7">
        <f>dataset!$F162-dataset!$J162-dataset!$G162-dataset!$H162</f>
        <v>70000</v>
      </c>
      <c r="J162" s="7">
        <f>dataset!$G162*0.08</f>
        <v>8000</v>
      </c>
      <c r="K162" s="7">
        <f>dataset!$F162*12</f>
        <v>2136000</v>
      </c>
      <c r="L162" s="12">
        <f>IF(dataset!$G162&gt;=200000,38%,IF(dataset!$G162&lt;=145000,12.3%,))</f>
        <v>0.12300000000000001</v>
      </c>
      <c r="M162" s="7">
        <f>dataset!$G162*L163*12</f>
        <v>147600.00000000003</v>
      </c>
      <c r="N16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62" s="7">
        <f>dataset!$K162+dataset!$M162</f>
        <v>2283600</v>
      </c>
      <c r="P162" s="7">
        <f>Payroll_Data_Analysis[[#This Row],[Annual Salary + KPI Bonus]]/12/29.3*31</f>
        <v>201341.29692832765</v>
      </c>
      <c r="Q162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162" s="7">
        <f>Payroll_Data_Analysis[[#This Row],[Monthly Salary]]*11</f>
        <v>1958000</v>
      </c>
      <c r="S162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162" s="7">
        <f>IF(Payroll_Data_Analysis[[#This Row],[Base Salary (Monthly)]]&gt;=200000,69507,IF(Payroll_Data_Analysis[[#This Row],[Base Salary (Monthly)]]&gt;=145000,52684,35103))</f>
        <v>35103</v>
      </c>
      <c r="U162" s="7">
        <f>Payroll_Data_Analysis[[#This Row],[Annual KPI Bonus Reserve]]+Payroll_Data_Analysis[[#This Row],[Vacation Reserve]]+Payroll_Data_Analysis[[#This Row],[11-Month Salary]]</f>
        <v>2306941.2969283275</v>
      </c>
      <c r="V162" s="7">
        <f>Payroll_Data_Analysis[[#This Row],[Payroll Taxes (KPI Bonus)]]+Payroll_Data_Analysis[[#This Row],[Payroll Taxes (Vacation)]]+Payroll_Data_Analysis[[#This Row],[Payroll Taxes (Salary)]]</f>
        <v>696696.27167235501</v>
      </c>
      <c r="W162" s="13">
        <f>Payroll_Data_Analysis[[#This Row],[Total Payroll]]+Payroll_Data_Analysis[[#This Row],[Total Payroll Taxes]]</f>
        <v>3003637.5686006825</v>
      </c>
    </row>
    <row r="163" spans="1:23">
      <c r="A163" s="11" t="s">
        <v>653</v>
      </c>
      <c r="B163" s="5" t="s">
        <v>166</v>
      </c>
      <c r="C163" s="5" t="s">
        <v>718</v>
      </c>
      <c r="D163" s="28" t="str">
        <f>VLOOKUP(Payroll_Data_Analysis[[#This Row],[Position]],Position_Map!$A$2:$B$58,2,FALSE)</f>
        <v>Technical</v>
      </c>
      <c r="E163" s="6">
        <v>1</v>
      </c>
      <c r="F163" s="7">
        <v>96400</v>
      </c>
      <c r="G163" s="7">
        <v>80000</v>
      </c>
      <c r="H163" s="7"/>
      <c r="I163" s="7">
        <f>dataset!$F163-dataset!$J163-dataset!$G163-dataset!$H163</f>
        <v>10000</v>
      </c>
      <c r="J163" s="7">
        <f>dataset!$G163*0.08</f>
        <v>6400</v>
      </c>
      <c r="K163" s="7">
        <f>dataset!$F163*12</f>
        <v>1156800</v>
      </c>
      <c r="L163" s="12">
        <f>IF(dataset!$G163&gt;=200000,38%,IF(dataset!$G163&lt;=145000,12.3%,))</f>
        <v>0.12300000000000001</v>
      </c>
      <c r="M163" s="7">
        <f>dataset!$G163*L164*12</f>
        <v>118080.00000000003</v>
      </c>
      <c r="N16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63" s="7">
        <f>dataset!$K163+dataset!$M163</f>
        <v>1274880</v>
      </c>
      <c r="P163" s="7">
        <f>Payroll_Data_Analysis[[#This Row],[Annual Salary + KPI Bonus]]/12/29.3*31</f>
        <v>112404.09556313993</v>
      </c>
      <c r="Q163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63" s="7">
        <f>Payroll_Data_Analysis[[#This Row],[Monthly Salary]]*11</f>
        <v>1060400</v>
      </c>
      <c r="S163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63" s="7">
        <f>IF(Payroll_Data_Analysis[[#This Row],[Base Salary (Monthly)]]&gt;=200000,69507,IF(Payroll_Data_Analysis[[#This Row],[Base Salary (Monthly)]]&gt;=145000,52684,35103))</f>
        <v>35103</v>
      </c>
      <c r="U163" s="7">
        <f>Payroll_Data_Analysis[[#This Row],[Annual KPI Bonus Reserve]]+Payroll_Data_Analysis[[#This Row],[Vacation Reserve]]+Payroll_Data_Analysis[[#This Row],[11-Month Salary]]</f>
        <v>1290884.09556314</v>
      </c>
      <c r="V163" s="7">
        <f>Payroll_Data_Analysis[[#This Row],[Payroll Taxes (KPI Bonus)]]+Payroll_Data_Analysis[[#This Row],[Payroll Taxes (Vacation)]]+Payroll_Data_Analysis[[#This Row],[Payroll Taxes (Salary)]]</f>
        <v>389846.99686006829</v>
      </c>
      <c r="W163" s="13">
        <f>Payroll_Data_Analysis[[#This Row],[Total Payroll]]+Payroll_Data_Analysis[[#This Row],[Total Payroll Taxes]]</f>
        <v>1680731.0924232083</v>
      </c>
    </row>
    <row r="164" spans="1:23">
      <c r="A164" s="11" t="s">
        <v>653</v>
      </c>
      <c r="B164" s="5" t="s">
        <v>167</v>
      </c>
      <c r="C164" s="5" t="s">
        <v>718</v>
      </c>
      <c r="D164" s="28" t="str">
        <f>VLOOKUP(Payroll_Data_Analysis[[#This Row],[Position]],Position_Map!$A$2:$B$58,2,FALSE)</f>
        <v>Technical</v>
      </c>
      <c r="E164" s="6">
        <v>1</v>
      </c>
      <c r="F164" s="7">
        <v>76000</v>
      </c>
      <c r="G164" s="7">
        <v>60000</v>
      </c>
      <c r="H164" s="7"/>
      <c r="I164" s="7">
        <f>dataset!$F164-dataset!$J164-dataset!$G164-dataset!$H164</f>
        <v>11200</v>
      </c>
      <c r="J164" s="7">
        <f>dataset!$G164*0.08</f>
        <v>4800</v>
      </c>
      <c r="K164" s="7">
        <f>dataset!$F164*12</f>
        <v>912000</v>
      </c>
      <c r="L164" s="12">
        <f>IF(dataset!$G164&gt;=200000,38%,IF(dataset!$G164&lt;=145000,12.3%,))</f>
        <v>0.12300000000000001</v>
      </c>
      <c r="M164" s="7">
        <f>dataset!$G164*L165*12</f>
        <v>88560.000000000015</v>
      </c>
      <c r="N16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4" s="7">
        <f>dataset!$K164+dataset!$M164</f>
        <v>1000560</v>
      </c>
      <c r="P164" s="7">
        <f>Payroll_Data_Analysis[[#This Row],[Annual Salary + KPI Bonus]]/12/29.3*31</f>
        <v>88217.747440273029</v>
      </c>
      <c r="Q164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4" s="7">
        <f>Payroll_Data_Analysis[[#This Row],[Monthly Salary]]*11</f>
        <v>836000</v>
      </c>
      <c r="S164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4" s="7">
        <f>IF(Payroll_Data_Analysis[[#This Row],[Base Salary (Monthly)]]&gt;=200000,69507,IF(Payroll_Data_Analysis[[#This Row],[Base Salary (Monthly)]]&gt;=145000,52684,35103))</f>
        <v>35103</v>
      </c>
      <c r="U164" s="7">
        <f>Payroll_Data_Analysis[[#This Row],[Annual KPI Bonus Reserve]]+Payroll_Data_Analysis[[#This Row],[Vacation Reserve]]+Payroll_Data_Analysis[[#This Row],[11-Month Salary]]</f>
        <v>1012777.7474402731</v>
      </c>
      <c r="V164" s="7">
        <f>Payroll_Data_Analysis[[#This Row],[Payroll Taxes (KPI Bonus)]]+Payroll_Data_Analysis[[#This Row],[Payroll Taxes (Vacation)]]+Payroll_Data_Analysis[[#This Row],[Payroll Taxes (Salary)]]</f>
        <v>305858.87972696248</v>
      </c>
      <c r="W164" s="13">
        <f>Payroll_Data_Analysis[[#This Row],[Total Payroll]]+Payroll_Data_Analysis[[#This Row],[Total Payroll Taxes]]</f>
        <v>1318636.6271672356</v>
      </c>
    </row>
    <row r="165" spans="1:23">
      <c r="A165" s="11" t="s">
        <v>653</v>
      </c>
      <c r="B165" s="5" t="s">
        <v>168</v>
      </c>
      <c r="C165" s="5" t="s">
        <v>718</v>
      </c>
      <c r="D165" s="28" t="str">
        <f>VLOOKUP(Payroll_Data_Analysis[[#This Row],[Position]],Position_Map!$A$2:$B$58,2,FALSE)</f>
        <v>Technical</v>
      </c>
      <c r="E165" s="6">
        <v>1</v>
      </c>
      <c r="F165" s="7">
        <v>76000</v>
      </c>
      <c r="G165" s="7">
        <v>60000</v>
      </c>
      <c r="H165" s="7"/>
      <c r="I165" s="7">
        <f>dataset!$F165-dataset!$J165-dataset!$G165-dataset!$H165</f>
        <v>11200</v>
      </c>
      <c r="J165" s="7">
        <f>dataset!$G165*0.08</f>
        <v>4800</v>
      </c>
      <c r="K165" s="7">
        <f>dataset!$F165*12</f>
        <v>912000</v>
      </c>
      <c r="L165" s="12">
        <f>IF(dataset!$G165&gt;=200000,38%,IF(dataset!$G165&lt;=145000,12.3%,))</f>
        <v>0.12300000000000001</v>
      </c>
      <c r="M165" s="7">
        <f>dataset!$G165*L166*12</f>
        <v>88560.000000000015</v>
      </c>
      <c r="N16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5" s="7">
        <f>dataset!$K165+dataset!$M165</f>
        <v>1000560</v>
      </c>
      <c r="P165" s="7">
        <f>Payroll_Data_Analysis[[#This Row],[Annual Salary + KPI Bonus]]/12/29.3*31</f>
        <v>88217.747440273029</v>
      </c>
      <c r="Q165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5" s="7">
        <f>Payroll_Data_Analysis[[#This Row],[Monthly Salary]]*11</f>
        <v>836000</v>
      </c>
      <c r="S165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5" s="7">
        <f>IF(Payroll_Data_Analysis[[#This Row],[Base Salary (Monthly)]]&gt;=200000,69507,IF(Payroll_Data_Analysis[[#This Row],[Base Salary (Monthly)]]&gt;=145000,52684,35103))</f>
        <v>35103</v>
      </c>
      <c r="U165" s="7">
        <f>Payroll_Data_Analysis[[#This Row],[Annual KPI Bonus Reserve]]+Payroll_Data_Analysis[[#This Row],[Vacation Reserve]]+Payroll_Data_Analysis[[#This Row],[11-Month Salary]]</f>
        <v>1012777.7474402731</v>
      </c>
      <c r="V165" s="7">
        <f>Payroll_Data_Analysis[[#This Row],[Payroll Taxes (KPI Bonus)]]+Payroll_Data_Analysis[[#This Row],[Payroll Taxes (Vacation)]]+Payroll_Data_Analysis[[#This Row],[Payroll Taxes (Salary)]]</f>
        <v>305858.87972696248</v>
      </c>
      <c r="W165" s="13">
        <f>Payroll_Data_Analysis[[#This Row],[Total Payroll]]+Payroll_Data_Analysis[[#This Row],[Total Payroll Taxes]]</f>
        <v>1318636.6271672356</v>
      </c>
    </row>
    <row r="166" spans="1:23">
      <c r="A166" s="11" t="s">
        <v>653</v>
      </c>
      <c r="B166" s="5" t="s">
        <v>169</v>
      </c>
      <c r="C166" s="5" t="s">
        <v>718</v>
      </c>
      <c r="D166" s="28" t="str">
        <f>VLOOKUP(Payroll_Data_Analysis[[#This Row],[Position]],Position_Map!$A$2:$B$58,2,FALSE)</f>
        <v>Technical</v>
      </c>
      <c r="E166" s="6">
        <v>1</v>
      </c>
      <c r="F166" s="7">
        <v>76000</v>
      </c>
      <c r="G166" s="7">
        <v>60000</v>
      </c>
      <c r="H166" s="7"/>
      <c r="I166" s="7">
        <f>dataset!$F166-dataset!$J166-dataset!$G166-dataset!$H166</f>
        <v>11200</v>
      </c>
      <c r="J166" s="7">
        <f>dataset!$G166*0.08</f>
        <v>4800</v>
      </c>
      <c r="K166" s="7">
        <f>dataset!$F166*12</f>
        <v>912000</v>
      </c>
      <c r="L166" s="12">
        <f>IF(dataset!$G166&gt;=200000,38%,IF(dataset!$G166&lt;=145000,12.3%,))</f>
        <v>0.12300000000000001</v>
      </c>
      <c r="M166" s="7">
        <f>dataset!$G166*L167*12</f>
        <v>88560.000000000015</v>
      </c>
      <c r="N16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6" s="7">
        <f>dataset!$K166+dataset!$M166</f>
        <v>1000560</v>
      </c>
      <c r="P166" s="7">
        <f>Payroll_Data_Analysis[[#This Row],[Annual Salary + KPI Bonus]]/12/29.3*31</f>
        <v>88217.747440273029</v>
      </c>
      <c r="Q166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6" s="7">
        <f>Payroll_Data_Analysis[[#This Row],[Monthly Salary]]*11</f>
        <v>836000</v>
      </c>
      <c r="S166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6" s="7">
        <f>IF(Payroll_Data_Analysis[[#This Row],[Base Salary (Monthly)]]&gt;=200000,69507,IF(Payroll_Data_Analysis[[#This Row],[Base Salary (Monthly)]]&gt;=145000,52684,35103))</f>
        <v>35103</v>
      </c>
      <c r="U166" s="7">
        <f>Payroll_Data_Analysis[[#This Row],[Annual KPI Bonus Reserve]]+Payroll_Data_Analysis[[#This Row],[Vacation Reserve]]+Payroll_Data_Analysis[[#This Row],[11-Month Salary]]</f>
        <v>1012777.7474402731</v>
      </c>
      <c r="V166" s="7">
        <f>Payroll_Data_Analysis[[#This Row],[Payroll Taxes (KPI Bonus)]]+Payroll_Data_Analysis[[#This Row],[Payroll Taxes (Vacation)]]+Payroll_Data_Analysis[[#This Row],[Payroll Taxes (Salary)]]</f>
        <v>305858.87972696248</v>
      </c>
      <c r="W166" s="13">
        <f>Payroll_Data_Analysis[[#This Row],[Total Payroll]]+Payroll_Data_Analysis[[#This Row],[Total Payroll Taxes]]</f>
        <v>1318636.6271672356</v>
      </c>
    </row>
    <row r="167" spans="1:23">
      <c r="A167" s="11" t="s">
        <v>653</v>
      </c>
      <c r="B167" s="5" t="s">
        <v>170</v>
      </c>
      <c r="C167" s="5" t="s">
        <v>718</v>
      </c>
      <c r="D167" s="28" t="str">
        <f>VLOOKUP(Payroll_Data_Analysis[[#This Row],[Position]],Position_Map!$A$2:$B$58,2,FALSE)</f>
        <v>Technical</v>
      </c>
      <c r="E167" s="6">
        <v>1</v>
      </c>
      <c r="F167" s="7">
        <v>76000</v>
      </c>
      <c r="G167" s="7">
        <v>60000</v>
      </c>
      <c r="H167" s="7"/>
      <c r="I167" s="7">
        <f>dataset!$F167-dataset!$J167-dataset!$G167-dataset!$H167</f>
        <v>11200</v>
      </c>
      <c r="J167" s="7">
        <f>dataset!$G167*0.08</f>
        <v>4800</v>
      </c>
      <c r="K167" s="7">
        <f>dataset!$F167*12</f>
        <v>912000</v>
      </c>
      <c r="L167" s="12">
        <f>IF(dataset!$G167&gt;=200000,38%,IF(dataset!$G167&lt;=145000,12.3%,))</f>
        <v>0.12300000000000001</v>
      </c>
      <c r="M167" s="7">
        <f>dataset!$G167*L168*12</f>
        <v>88560.000000000015</v>
      </c>
      <c r="N16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7" s="7">
        <f>dataset!$K167+dataset!$M167</f>
        <v>1000560</v>
      </c>
      <c r="P167" s="7">
        <f>Payroll_Data_Analysis[[#This Row],[Annual Salary + KPI Bonus]]/12/29.3*31</f>
        <v>88217.747440273029</v>
      </c>
      <c r="Q167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7" s="7">
        <f>Payroll_Data_Analysis[[#This Row],[Monthly Salary]]*11</f>
        <v>836000</v>
      </c>
      <c r="S167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7" s="7">
        <f>IF(Payroll_Data_Analysis[[#This Row],[Base Salary (Monthly)]]&gt;=200000,69507,IF(Payroll_Data_Analysis[[#This Row],[Base Salary (Monthly)]]&gt;=145000,52684,35103))</f>
        <v>35103</v>
      </c>
      <c r="U167" s="7">
        <f>Payroll_Data_Analysis[[#This Row],[Annual KPI Bonus Reserve]]+Payroll_Data_Analysis[[#This Row],[Vacation Reserve]]+Payroll_Data_Analysis[[#This Row],[11-Month Salary]]</f>
        <v>1012777.7474402731</v>
      </c>
      <c r="V167" s="7">
        <f>Payroll_Data_Analysis[[#This Row],[Payroll Taxes (KPI Bonus)]]+Payroll_Data_Analysis[[#This Row],[Payroll Taxes (Vacation)]]+Payroll_Data_Analysis[[#This Row],[Payroll Taxes (Salary)]]</f>
        <v>305858.87972696248</v>
      </c>
      <c r="W167" s="13">
        <f>Payroll_Data_Analysis[[#This Row],[Total Payroll]]+Payroll_Data_Analysis[[#This Row],[Total Payroll Taxes]]</f>
        <v>1318636.6271672356</v>
      </c>
    </row>
    <row r="168" spans="1:23">
      <c r="A168" s="11" t="s">
        <v>653</v>
      </c>
      <c r="B168" s="5" t="s">
        <v>171</v>
      </c>
      <c r="C168" s="5" t="s">
        <v>718</v>
      </c>
      <c r="D168" s="28" t="str">
        <f>VLOOKUP(Payroll_Data_Analysis[[#This Row],[Position]],Position_Map!$A$2:$B$58,2,FALSE)</f>
        <v>Technical</v>
      </c>
      <c r="E168" s="6">
        <v>1</v>
      </c>
      <c r="F168" s="7">
        <v>76000</v>
      </c>
      <c r="G168" s="7">
        <v>60000</v>
      </c>
      <c r="H168" s="7"/>
      <c r="I168" s="7">
        <f>dataset!$F168-dataset!$J168-dataset!$G168-dataset!$H168</f>
        <v>11200</v>
      </c>
      <c r="J168" s="7">
        <f>dataset!$G168*0.08</f>
        <v>4800</v>
      </c>
      <c r="K168" s="7">
        <f>dataset!$F168*12</f>
        <v>912000</v>
      </c>
      <c r="L168" s="12">
        <f>IF(dataset!$G168&gt;=200000,38%,IF(dataset!$G168&lt;=145000,12.3%,))</f>
        <v>0.12300000000000001</v>
      </c>
      <c r="M168" s="7">
        <f>dataset!$G168*L169*12</f>
        <v>88560.000000000015</v>
      </c>
      <c r="N16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8" s="7">
        <f>dataset!$K168+dataset!$M168</f>
        <v>1000560</v>
      </c>
      <c r="P168" s="7">
        <f>Payroll_Data_Analysis[[#This Row],[Annual Salary + KPI Bonus]]/12/29.3*31</f>
        <v>88217.747440273029</v>
      </c>
      <c r="Q168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8" s="7">
        <f>Payroll_Data_Analysis[[#This Row],[Monthly Salary]]*11</f>
        <v>836000</v>
      </c>
      <c r="S168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8" s="7">
        <f>IF(Payroll_Data_Analysis[[#This Row],[Base Salary (Monthly)]]&gt;=200000,69507,IF(Payroll_Data_Analysis[[#This Row],[Base Salary (Monthly)]]&gt;=145000,52684,35103))</f>
        <v>35103</v>
      </c>
      <c r="U168" s="7">
        <f>Payroll_Data_Analysis[[#This Row],[Annual KPI Bonus Reserve]]+Payroll_Data_Analysis[[#This Row],[Vacation Reserve]]+Payroll_Data_Analysis[[#This Row],[11-Month Salary]]</f>
        <v>1012777.7474402731</v>
      </c>
      <c r="V168" s="7">
        <f>Payroll_Data_Analysis[[#This Row],[Payroll Taxes (KPI Bonus)]]+Payroll_Data_Analysis[[#This Row],[Payroll Taxes (Vacation)]]+Payroll_Data_Analysis[[#This Row],[Payroll Taxes (Salary)]]</f>
        <v>305858.87972696248</v>
      </c>
      <c r="W168" s="13">
        <f>Payroll_Data_Analysis[[#This Row],[Total Payroll]]+Payroll_Data_Analysis[[#This Row],[Total Payroll Taxes]]</f>
        <v>1318636.6271672356</v>
      </c>
    </row>
    <row r="169" spans="1:23">
      <c r="A169" s="11" t="s">
        <v>653</v>
      </c>
      <c r="B169" s="5" t="s">
        <v>172</v>
      </c>
      <c r="C169" s="5" t="s">
        <v>718</v>
      </c>
      <c r="D169" s="28" t="str">
        <f>VLOOKUP(Payroll_Data_Analysis[[#This Row],[Position]],Position_Map!$A$2:$B$58,2,FALSE)</f>
        <v>Technical</v>
      </c>
      <c r="E169" s="6">
        <v>1</v>
      </c>
      <c r="F169" s="7">
        <v>76000</v>
      </c>
      <c r="G169" s="7">
        <v>60000</v>
      </c>
      <c r="H169" s="7"/>
      <c r="I169" s="7">
        <f>dataset!$F169-dataset!$J169-dataset!$G169-dataset!$H169</f>
        <v>11200</v>
      </c>
      <c r="J169" s="7">
        <f>dataset!$G169*0.08</f>
        <v>4800</v>
      </c>
      <c r="K169" s="7">
        <f>dataset!$F169*12</f>
        <v>912000</v>
      </c>
      <c r="L169" s="12">
        <f>IF(dataset!$G169&gt;=200000,38%,IF(dataset!$G169&lt;=145000,12.3%,))</f>
        <v>0.12300000000000001</v>
      </c>
      <c r="M169" s="7">
        <f>dataset!$G169*L170*12</f>
        <v>88560.000000000015</v>
      </c>
      <c r="N16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69" s="7">
        <f>dataset!$K169+dataset!$M169</f>
        <v>1000560</v>
      </c>
      <c r="P169" s="7">
        <f>Payroll_Data_Analysis[[#This Row],[Annual Salary + KPI Bonus]]/12/29.3*31</f>
        <v>88217.747440273029</v>
      </c>
      <c r="Q169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69" s="7">
        <f>Payroll_Data_Analysis[[#This Row],[Monthly Salary]]*11</f>
        <v>836000</v>
      </c>
      <c r="S169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69" s="7">
        <f>IF(Payroll_Data_Analysis[[#This Row],[Base Salary (Monthly)]]&gt;=200000,69507,IF(Payroll_Data_Analysis[[#This Row],[Base Salary (Monthly)]]&gt;=145000,52684,35103))</f>
        <v>35103</v>
      </c>
      <c r="U169" s="7">
        <f>Payroll_Data_Analysis[[#This Row],[Annual KPI Bonus Reserve]]+Payroll_Data_Analysis[[#This Row],[Vacation Reserve]]+Payroll_Data_Analysis[[#This Row],[11-Month Salary]]</f>
        <v>1012777.7474402731</v>
      </c>
      <c r="V169" s="7">
        <f>Payroll_Data_Analysis[[#This Row],[Payroll Taxes (KPI Bonus)]]+Payroll_Data_Analysis[[#This Row],[Payroll Taxes (Vacation)]]+Payroll_Data_Analysis[[#This Row],[Payroll Taxes (Salary)]]</f>
        <v>305858.87972696248</v>
      </c>
      <c r="W169" s="13">
        <f>Payroll_Data_Analysis[[#This Row],[Total Payroll]]+Payroll_Data_Analysis[[#This Row],[Total Payroll Taxes]]</f>
        <v>1318636.6271672356</v>
      </c>
    </row>
    <row r="170" spans="1:23">
      <c r="A170" s="11" t="s">
        <v>653</v>
      </c>
      <c r="B170" s="5" t="s">
        <v>173</v>
      </c>
      <c r="C170" s="5" t="s">
        <v>718</v>
      </c>
      <c r="D170" s="28" t="str">
        <f>VLOOKUP(Payroll_Data_Analysis[[#This Row],[Position]],Position_Map!$A$2:$B$58,2,FALSE)</f>
        <v>Technical</v>
      </c>
      <c r="E170" s="6">
        <v>1</v>
      </c>
      <c r="F170" s="7">
        <v>76000</v>
      </c>
      <c r="G170" s="7">
        <v>60000</v>
      </c>
      <c r="H170" s="7"/>
      <c r="I170" s="7">
        <f>dataset!$F170-dataset!$J170-dataset!$G170-dataset!$H170</f>
        <v>11200</v>
      </c>
      <c r="J170" s="7">
        <f>dataset!$G170*0.08</f>
        <v>4800</v>
      </c>
      <c r="K170" s="7">
        <f>dataset!$F170*12</f>
        <v>912000</v>
      </c>
      <c r="L170" s="12">
        <f>IF(dataset!$G170&gt;=200000,38%,IF(dataset!$G170&lt;=145000,12.3%,))</f>
        <v>0.12300000000000001</v>
      </c>
      <c r="M170" s="7">
        <f>dataset!$G170*L171*12</f>
        <v>88560.000000000015</v>
      </c>
      <c r="N17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70" s="7">
        <f>dataset!$K170+dataset!$M170</f>
        <v>1000560</v>
      </c>
      <c r="P170" s="7">
        <f>Payroll_Data_Analysis[[#This Row],[Annual Salary + KPI Bonus]]/12/29.3*31</f>
        <v>88217.747440273029</v>
      </c>
      <c r="Q170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70" s="7">
        <f>Payroll_Data_Analysis[[#This Row],[Monthly Salary]]*11</f>
        <v>836000</v>
      </c>
      <c r="S170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70" s="7">
        <f>IF(Payroll_Data_Analysis[[#This Row],[Base Salary (Monthly)]]&gt;=200000,69507,IF(Payroll_Data_Analysis[[#This Row],[Base Salary (Monthly)]]&gt;=145000,52684,35103))</f>
        <v>35103</v>
      </c>
      <c r="U170" s="7">
        <f>Payroll_Data_Analysis[[#This Row],[Annual KPI Bonus Reserve]]+Payroll_Data_Analysis[[#This Row],[Vacation Reserve]]+Payroll_Data_Analysis[[#This Row],[11-Month Salary]]</f>
        <v>1012777.7474402731</v>
      </c>
      <c r="V170" s="7">
        <f>Payroll_Data_Analysis[[#This Row],[Payroll Taxes (KPI Bonus)]]+Payroll_Data_Analysis[[#This Row],[Payroll Taxes (Vacation)]]+Payroll_Data_Analysis[[#This Row],[Payroll Taxes (Salary)]]</f>
        <v>305858.87972696248</v>
      </c>
      <c r="W170" s="13">
        <f>Payroll_Data_Analysis[[#This Row],[Total Payroll]]+Payroll_Data_Analysis[[#This Row],[Total Payroll Taxes]]</f>
        <v>1318636.6271672356</v>
      </c>
    </row>
    <row r="171" spans="1:23">
      <c r="A171" s="11" t="s">
        <v>653</v>
      </c>
      <c r="B171" s="5" t="s">
        <v>174</v>
      </c>
      <c r="C171" s="5" t="s">
        <v>718</v>
      </c>
      <c r="D171" s="28" t="str">
        <f>VLOOKUP(Payroll_Data_Analysis[[#This Row],[Position]],Position_Map!$A$2:$B$58,2,FALSE)</f>
        <v>Technical</v>
      </c>
      <c r="E171" s="6">
        <v>1</v>
      </c>
      <c r="F171" s="7">
        <v>76000</v>
      </c>
      <c r="G171" s="7">
        <v>60000</v>
      </c>
      <c r="H171" s="7"/>
      <c r="I171" s="7">
        <f>dataset!$F171-dataset!$J171-dataset!$G171-dataset!$H171</f>
        <v>11200</v>
      </c>
      <c r="J171" s="7">
        <f>dataset!$G171*0.08</f>
        <v>4800</v>
      </c>
      <c r="K171" s="7">
        <f>dataset!$F171*12</f>
        <v>912000</v>
      </c>
      <c r="L171" s="12">
        <f>IF(dataset!$G171&gt;=200000,38%,IF(dataset!$G171&lt;=145000,12.3%,))</f>
        <v>0.12300000000000001</v>
      </c>
      <c r="M171" s="7">
        <f>dataset!$G171*L172*12</f>
        <v>88560.000000000015</v>
      </c>
      <c r="N17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71" s="7">
        <f>dataset!$K171+dataset!$M171</f>
        <v>1000560</v>
      </c>
      <c r="P171" s="7">
        <f>Payroll_Data_Analysis[[#This Row],[Annual Salary + KPI Bonus]]/12/29.3*31</f>
        <v>88217.747440273029</v>
      </c>
      <c r="Q171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171" s="7">
        <f>Payroll_Data_Analysis[[#This Row],[Monthly Salary]]*11</f>
        <v>836000</v>
      </c>
      <c r="S171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171" s="7">
        <f>IF(Payroll_Data_Analysis[[#This Row],[Base Salary (Monthly)]]&gt;=200000,69507,IF(Payroll_Data_Analysis[[#This Row],[Base Salary (Monthly)]]&gt;=145000,52684,35103))</f>
        <v>35103</v>
      </c>
      <c r="U171" s="7">
        <f>Payroll_Data_Analysis[[#This Row],[Annual KPI Bonus Reserve]]+Payroll_Data_Analysis[[#This Row],[Vacation Reserve]]+Payroll_Data_Analysis[[#This Row],[11-Month Salary]]</f>
        <v>1012777.7474402731</v>
      </c>
      <c r="V171" s="7">
        <f>Payroll_Data_Analysis[[#This Row],[Payroll Taxes (KPI Bonus)]]+Payroll_Data_Analysis[[#This Row],[Payroll Taxes (Vacation)]]+Payroll_Data_Analysis[[#This Row],[Payroll Taxes (Salary)]]</f>
        <v>305858.87972696248</v>
      </c>
      <c r="W171" s="13">
        <f>Payroll_Data_Analysis[[#This Row],[Total Payroll]]+Payroll_Data_Analysis[[#This Row],[Total Payroll Taxes]]</f>
        <v>1318636.6271672356</v>
      </c>
    </row>
    <row r="172" spans="1:23">
      <c r="A172" s="11" t="s">
        <v>653</v>
      </c>
      <c r="B172" s="5" t="s">
        <v>175</v>
      </c>
      <c r="C172" s="5" t="s">
        <v>718</v>
      </c>
      <c r="D172" s="28" t="str">
        <f>VLOOKUP(Payroll_Data_Analysis[[#This Row],[Position]],Position_Map!$A$2:$B$58,2,FALSE)</f>
        <v>Technical</v>
      </c>
      <c r="E172" s="6">
        <v>1</v>
      </c>
      <c r="F172" s="7">
        <v>96400</v>
      </c>
      <c r="G172" s="7">
        <v>80000</v>
      </c>
      <c r="H172" s="7"/>
      <c r="I172" s="7">
        <f>dataset!$F172-dataset!$J172-dataset!$G172-dataset!$H172</f>
        <v>10000</v>
      </c>
      <c r="J172" s="7">
        <f>dataset!$G172*0.08</f>
        <v>6400</v>
      </c>
      <c r="K172" s="7">
        <f>dataset!$F172*12</f>
        <v>1156800</v>
      </c>
      <c r="L172" s="12">
        <f>IF(dataset!$G172&gt;=200000,38%,IF(dataset!$G172&lt;=145000,12.3%,))</f>
        <v>0.12300000000000001</v>
      </c>
      <c r="M172" s="7">
        <f>dataset!$G172*L173*12</f>
        <v>118080.00000000003</v>
      </c>
      <c r="N17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72" s="7">
        <f>dataset!$K172+dataset!$M172</f>
        <v>1274880</v>
      </c>
      <c r="P172" s="7">
        <f>Payroll_Data_Analysis[[#This Row],[Annual Salary + KPI Bonus]]/12/29.3*31</f>
        <v>112404.09556313993</v>
      </c>
      <c r="Q172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72" s="7">
        <f>Payroll_Data_Analysis[[#This Row],[Monthly Salary]]*11</f>
        <v>1060400</v>
      </c>
      <c r="S172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72" s="7">
        <f>IF(Payroll_Data_Analysis[[#This Row],[Base Salary (Monthly)]]&gt;=200000,69507,IF(Payroll_Data_Analysis[[#This Row],[Base Salary (Monthly)]]&gt;=145000,52684,35103))</f>
        <v>35103</v>
      </c>
      <c r="U172" s="7">
        <f>Payroll_Data_Analysis[[#This Row],[Annual KPI Bonus Reserve]]+Payroll_Data_Analysis[[#This Row],[Vacation Reserve]]+Payroll_Data_Analysis[[#This Row],[11-Month Salary]]</f>
        <v>1290884.09556314</v>
      </c>
      <c r="V172" s="7">
        <f>Payroll_Data_Analysis[[#This Row],[Payroll Taxes (KPI Bonus)]]+Payroll_Data_Analysis[[#This Row],[Payroll Taxes (Vacation)]]+Payroll_Data_Analysis[[#This Row],[Payroll Taxes (Salary)]]</f>
        <v>389846.99686006829</v>
      </c>
      <c r="W172" s="13">
        <f>Payroll_Data_Analysis[[#This Row],[Total Payroll]]+Payroll_Data_Analysis[[#This Row],[Total Payroll Taxes]]</f>
        <v>1680731.0924232083</v>
      </c>
    </row>
    <row r="173" spans="1:23">
      <c r="A173" s="11" t="s">
        <v>653</v>
      </c>
      <c r="B173" s="5" t="s">
        <v>176</v>
      </c>
      <c r="C173" s="5" t="s">
        <v>703</v>
      </c>
      <c r="D173" s="28" t="str">
        <f>VLOOKUP(Payroll_Data_Analysis[[#This Row],[Position]],Position_Map!$A$2:$B$58,2,FALSE)</f>
        <v>Management</v>
      </c>
      <c r="E173" s="6">
        <v>1</v>
      </c>
      <c r="F173" s="7">
        <v>186600</v>
      </c>
      <c r="G173" s="7">
        <v>145000</v>
      </c>
      <c r="H173" s="7"/>
      <c r="I173" s="7">
        <f>dataset!$F173-dataset!$J173-dataset!$G173-dataset!$H173</f>
        <v>30000</v>
      </c>
      <c r="J173" s="7">
        <f>dataset!$G173*0.08</f>
        <v>11600</v>
      </c>
      <c r="K173" s="7">
        <f>dataset!$F173*12</f>
        <v>2239200</v>
      </c>
      <c r="L173" s="12">
        <f>IF(dataset!$G173&gt;=200000,38%,IF(dataset!$G173&lt;=145000,12.3%,))</f>
        <v>0.12300000000000001</v>
      </c>
      <c r="M173" s="7">
        <f>dataset!$G173*L174*12</f>
        <v>214020</v>
      </c>
      <c r="N17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73" s="7">
        <f>dataset!$K173+dataset!$M173</f>
        <v>2453220</v>
      </c>
      <c r="P173" s="7">
        <f>Payroll_Data_Analysis[[#This Row],[Annual Salary + KPI Bonus]]/12/29.3*31</f>
        <v>216296.41638225256</v>
      </c>
      <c r="Q173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173" s="7">
        <f>Payroll_Data_Analysis[[#This Row],[Monthly Salary]]*11</f>
        <v>2052600</v>
      </c>
      <c r="S173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173" s="7">
        <f>IF(Payroll_Data_Analysis[[#This Row],[Base Salary (Monthly)]]&gt;=200000,69507,IF(Payroll_Data_Analysis[[#This Row],[Base Salary (Monthly)]]&gt;=145000,52684,35103))</f>
        <v>52684</v>
      </c>
      <c r="U173" s="7">
        <f>Payroll_Data_Analysis[[#This Row],[Annual KPI Bonus Reserve]]+Payroll_Data_Analysis[[#This Row],[Vacation Reserve]]+Payroll_Data_Analysis[[#This Row],[11-Month Salary]]</f>
        <v>2482916.4163822527</v>
      </c>
      <c r="V173" s="7">
        <f>Payroll_Data_Analysis[[#This Row],[Payroll Taxes (KPI Bonus)]]+Payroll_Data_Analysis[[#This Row],[Payroll Taxes (Vacation)]]+Payroll_Data_Analysis[[#This Row],[Payroll Taxes (Salary)]]</f>
        <v>749840.75774744025</v>
      </c>
      <c r="W173" s="13">
        <f>Payroll_Data_Analysis[[#This Row],[Total Payroll]]+Payroll_Data_Analysis[[#This Row],[Total Payroll Taxes]]</f>
        <v>3232757.1741296928</v>
      </c>
    </row>
    <row r="174" spans="1:23">
      <c r="A174" s="11" t="s">
        <v>653</v>
      </c>
      <c r="B174" s="5" t="s">
        <v>177</v>
      </c>
      <c r="C174" s="5" t="s">
        <v>708</v>
      </c>
      <c r="D174" s="28" t="str">
        <f>VLOOKUP(Payroll_Data_Analysis[[#This Row],[Position]],Position_Map!$A$2:$B$58,2,FALSE)</f>
        <v>Professional</v>
      </c>
      <c r="E174" s="6">
        <v>1</v>
      </c>
      <c r="F174" s="7">
        <v>104800</v>
      </c>
      <c r="G174" s="7">
        <v>80000</v>
      </c>
      <c r="H174" s="7"/>
      <c r="I174" s="7">
        <f>dataset!$F174-dataset!$J174-dataset!$G174-dataset!$H174</f>
        <v>18400</v>
      </c>
      <c r="J174" s="7">
        <f>dataset!$G174*0.08</f>
        <v>6400</v>
      </c>
      <c r="K174" s="7">
        <f>dataset!$F174*12</f>
        <v>1257600</v>
      </c>
      <c r="L174" s="12">
        <f>IF(dataset!$G174&gt;=200000,38%,IF(dataset!$G174&lt;=145000,12.3%,))</f>
        <v>0.12300000000000001</v>
      </c>
      <c r="M174" s="7">
        <f>dataset!$G174*L175*12</f>
        <v>118080.00000000003</v>
      </c>
      <c r="N17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74" s="7">
        <f>dataset!$K174+dataset!$M174</f>
        <v>1375680</v>
      </c>
      <c r="P174" s="7">
        <f>Payroll_Data_Analysis[[#This Row],[Annual Salary + KPI Bonus]]/12/29.3*31</f>
        <v>121291.46757679181</v>
      </c>
      <c r="Q174" s="7">
        <f>IF(Payroll_Data_Analysis[[#This Row],[Vacation Reserve]]&lt;=2979000,Payroll_Data_Analysis[[#This Row],[Vacation Reserve]]*0.302,2979000*0.302+(Payroll_Data_Analysis[[#This Row],[Vacation Reserve]]-2979000)*0.151)</f>
        <v>36630.023208191124</v>
      </c>
      <c r="R174" s="7">
        <f>Payroll_Data_Analysis[[#This Row],[Monthly Salary]]*11</f>
        <v>1152800</v>
      </c>
      <c r="S174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174" s="7">
        <f>IF(Payroll_Data_Analysis[[#This Row],[Base Salary (Monthly)]]&gt;=200000,69507,IF(Payroll_Data_Analysis[[#This Row],[Base Salary (Monthly)]]&gt;=145000,52684,35103))</f>
        <v>35103</v>
      </c>
      <c r="U174" s="7">
        <f>Payroll_Data_Analysis[[#This Row],[Annual KPI Bonus Reserve]]+Payroll_Data_Analysis[[#This Row],[Vacation Reserve]]+Payroll_Data_Analysis[[#This Row],[11-Month Salary]]</f>
        <v>1392171.4675767918</v>
      </c>
      <c r="V174" s="7">
        <f>Payroll_Data_Analysis[[#This Row],[Payroll Taxes (KPI Bonus)]]+Payroll_Data_Analysis[[#This Row],[Payroll Taxes (Vacation)]]+Payroll_Data_Analysis[[#This Row],[Payroll Taxes (Salary)]]</f>
        <v>420435.7832081911</v>
      </c>
      <c r="W174" s="13">
        <f>Payroll_Data_Analysis[[#This Row],[Total Payroll]]+Payroll_Data_Analysis[[#This Row],[Total Payroll Taxes]]</f>
        <v>1812607.2507849829</v>
      </c>
    </row>
    <row r="175" spans="1:23">
      <c r="A175" s="11" t="s">
        <v>653</v>
      </c>
      <c r="B175" s="5" t="s">
        <v>178</v>
      </c>
      <c r="C175" s="5" t="s">
        <v>705</v>
      </c>
      <c r="D175" s="28" t="str">
        <f>VLOOKUP(Payroll_Data_Analysis[[#This Row],[Position]],Position_Map!$A$2:$B$58,2,FALSE)</f>
        <v>Professional</v>
      </c>
      <c r="E175" s="6">
        <v>1</v>
      </c>
      <c r="F175" s="7">
        <v>116400</v>
      </c>
      <c r="G175" s="7">
        <v>80000</v>
      </c>
      <c r="H175" s="7"/>
      <c r="I175" s="7">
        <f>dataset!$F175-dataset!$J175-dataset!$G175-dataset!$H175</f>
        <v>30000</v>
      </c>
      <c r="J175" s="7">
        <f>dataset!$G175*0.08</f>
        <v>6400</v>
      </c>
      <c r="K175" s="7">
        <f>dataset!$F175*12</f>
        <v>1396800</v>
      </c>
      <c r="L175" s="12">
        <f>IF(dataset!$G175&gt;=200000,38%,IF(dataset!$G175&lt;=145000,12.3%,))</f>
        <v>0.12300000000000001</v>
      </c>
      <c r="M175" s="7">
        <f>dataset!$G175*L176*12</f>
        <v>118080.00000000003</v>
      </c>
      <c r="N17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75" s="7">
        <f>dataset!$K175+dataset!$M175</f>
        <v>1514880</v>
      </c>
      <c r="P175" s="7">
        <f>Payroll_Data_Analysis[[#This Row],[Annual Salary + KPI Bonus]]/12/29.3*31</f>
        <v>133564.50511945394</v>
      </c>
      <c r="Q175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175" s="7">
        <f>Payroll_Data_Analysis[[#This Row],[Monthly Salary]]*11</f>
        <v>1280400</v>
      </c>
      <c r="S175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175" s="7">
        <f>IF(Payroll_Data_Analysis[[#This Row],[Base Salary (Monthly)]]&gt;=200000,69507,IF(Payroll_Data_Analysis[[#This Row],[Base Salary (Monthly)]]&gt;=145000,52684,35103))</f>
        <v>35103</v>
      </c>
      <c r="U175" s="7">
        <f>Payroll_Data_Analysis[[#This Row],[Annual KPI Bonus Reserve]]+Payroll_Data_Analysis[[#This Row],[Vacation Reserve]]+Payroll_Data_Analysis[[#This Row],[11-Month Salary]]</f>
        <v>1532044.5051194539</v>
      </c>
      <c r="V175" s="7">
        <f>Payroll_Data_Analysis[[#This Row],[Payroll Taxes (KPI Bonus)]]+Payroll_Data_Analysis[[#This Row],[Payroll Taxes (Vacation)]]+Payroll_Data_Analysis[[#This Row],[Payroll Taxes (Salary)]]</f>
        <v>462677.44054607511</v>
      </c>
      <c r="W175" s="13">
        <f>Payroll_Data_Analysis[[#This Row],[Total Payroll]]+Payroll_Data_Analysis[[#This Row],[Total Payroll Taxes]]</f>
        <v>1994721.945665529</v>
      </c>
    </row>
    <row r="176" spans="1:23">
      <c r="A176" s="11" t="s">
        <v>653</v>
      </c>
      <c r="B176" s="5" t="s">
        <v>179</v>
      </c>
      <c r="C176" s="5" t="s">
        <v>719</v>
      </c>
      <c r="D176" s="28" t="str">
        <f>VLOOKUP(Payroll_Data_Analysis[[#This Row],[Position]],Position_Map!$A$2:$B$58,2,FALSE)</f>
        <v>Technical</v>
      </c>
      <c r="E176" s="6">
        <v>1</v>
      </c>
      <c r="F176" s="7">
        <v>96400</v>
      </c>
      <c r="G176" s="7">
        <v>80000</v>
      </c>
      <c r="H176" s="7"/>
      <c r="I176" s="7">
        <f>dataset!$F176-dataset!$J176-dataset!$G176-dataset!$H176</f>
        <v>10000</v>
      </c>
      <c r="J176" s="7">
        <f>dataset!$G176*0.08</f>
        <v>6400</v>
      </c>
      <c r="K176" s="7">
        <f>dataset!$F176*12</f>
        <v>1156800</v>
      </c>
      <c r="L176" s="12">
        <f>IF(dataset!$G176&gt;=200000,38%,IF(dataset!$G176&lt;=145000,12.3%,))</f>
        <v>0.12300000000000001</v>
      </c>
      <c r="M176" s="7">
        <f>dataset!$G176*L177*12</f>
        <v>118080.00000000003</v>
      </c>
      <c r="N17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76" s="7">
        <f>dataset!$K176+dataset!$M176</f>
        <v>1274880</v>
      </c>
      <c r="P176" s="7">
        <f>Payroll_Data_Analysis[[#This Row],[Annual Salary + KPI Bonus]]/12/29.3*31</f>
        <v>112404.09556313993</v>
      </c>
      <c r="Q176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76" s="7">
        <f>Payroll_Data_Analysis[[#This Row],[Monthly Salary]]*11</f>
        <v>1060400</v>
      </c>
      <c r="S176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76" s="7">
        <f>IF(Payroll_Data_Analysis[[#This Row],[Base Salary (Monthly)]]&gt;=200000,69507,IF(Payroll_Data_Analysis[[#This Row],[Base Salary (Monthly)]]&gt;=145000,52684,35103))</f>
        <v>35103</v>
      </c>
      <c r="U176" s="7">
        <f>Payroll_Data_Analysis[[#This Row],[Annual KPI Bonus Reserve]]+Payroll_Data_Analysis[[#This Row],[Vacation Reserve]]+Payroll_Data_Analysis[[#This Row],[11-Month Salary]]</f>
        <v>1290884.09556314</v>
      </c>
      <c r="V176" s="7">
        <f>Payroll_Data_Analysis[[#This Row],[Payroll Taxes (KPI Bonus)]]+Payroll_Data_Analysis[[#This Row],[Payroll Taxes (Vacation)]]+Payroll_Data_Analysis[[#This Row],[Payroll Taxes (Salary)]]</f>
        <v>389846.99686006829</v>
      </c>
      <c r="W176" s="13">
        <f>Payroll_Data_Analysis[[#This Row],[Total Payroll]]+Payroll_Data_Analysis[[#This Row],[Total Payroll Taxes]]</f>
        <v>1680731.0924232083</v>
      </c>
    </row>
    <row r="177" spans="1:23">
      <c r="A177" s="11" t="s">
        <v>653</v>
      </c>
      <c r="B177" s="5" t="s">
        <v>180</v>
      </c>
      <c r="C177" s="5" t="s">
        <v>719</v>
      </c>
      <c r="D177" s="28" t="str">
        <f>VLOOKUP(Payroll_Data_Analysis[[#This Row],[Position]],Position_Map!$A$2:$B$58,2,FALSE)</f>
        <v>Technical</v>
      </c>
      <c r="E177" s="6">
        <v>1</v>
      </c>
      <c r="F177" s="7">
        <v>72000</v>
      </c>
      <c r="G177" s="7">
        <v>60000</v>
      </c>
      <c r="H177" s="7"/>
      <c r="I177" s="7">
        <f>dataset!$F177-dataset!$J177-dataset!$G177-dataset!$H177</f>
        <v>7200</v>
      </c>
      <c r="J177" s="7">
        <f>dataset!$G177*0.08</f>
        <v>4800</v>
      </c>
      <c r="K177" s="7">
        <f>dataset!$F177*12</f>
        <v>864000</v>
      </c>
      <c r="L177" s="12">
        <f>IF(dataset!$G177&gt;=200000,38%,IF(dataset!$G177&lt;=145000,12.3%,))</f>
        <v>0.12300000000000001</v>
      </c>
      <c r="M177" s="7">
        <f>dataset!$G177*L178*12</f>
        <v>88560.000000000015</v>
      </c>
      <c r="N17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77" s="7">
        <f>dataset!$K177+dataset!$M177</f>
        <v>952560</v>
      </c>
      <c r="P177" s="7">
        <f>Payroll_Data_Analysis[[#This Row],[Annual Salary + KPI Bonus]]/12/29.3*31</f>
        <v>83985.665529010235</v>
      </c>
      <c r="Q177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77" s="7">
        <f>Payroll_Data_Analysis[[#This Row],[Monthly Salary]]*11</f>
        <v>792000</v>
      </c>
      <c r="S177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77" s="7">
        <f>IF(Payroll_Data_Analysis[[#This Row],[Base Salary (Monthly)]]&gt;=200000,69507,IF(Payroll_Data_Analysis[[#This Row],[Base Salary (Monthly)]]&gt;=145000,52684,35103))</f>
        <v>35103</v>
      </c>
      <c r="U177" s="7">
        <f>Payroll_Data_Analysis[[#This Row],[Annual KPI Bonus Reserve]]+Payroll_Data_Analysis[[#This Row],[Vacation Reserve]]+Payroll_Data_Analysis[[#This Row],[11-Month Salary]]</f>
        <v>964545.66552901024</v>
      </c>
      <c r="V177" s="7">
        <f>Payroll_Data_Analysis[[#This Row],[Payroll Taxes (KPI Bonus)]]+Payroll_Data_Analysis[[#This Row],[Payroll Taxes (Vacation)]]+Payroll_Data_Analysis[[#This Row],[Payroll Taxes (Salary)]]</f>
        <v>291292.79098976112</v>
      </c>
      <c r="W177" s="13">
        <f>Payroll_Data_Analysis[[#This Row],[Total Payroll]]+Payroll_Data_Analysis[[#This Row],[Total Payroll Taxes]]</f>
        <v>1255838.4565187714</v>
      </c>
    </row>
    <row r="178" spans="1:23">
      <c r="A178" s="11" t="s">
        <v>653</v>
      </c>
      <c r="B178" s="5" t="s">
        <v>181</v>
      </c>
      <c r="C178" s="5" t="s">
        <v>719</v>
      </c>
      <c r="D178" s="28" t="str">
        <f>VLOOKUP(Payroll_Data_Analysis[[#This Row],[Position]],Position_Map!$A$2:$B$58,2,FALSE)</f>
        <v>Technical</v>
      </c>
      <c r="E178" s="6">
        <v>1</v>
      </c>
      <c r="F178" s="7">
        <v>72000</v>
      </c>
      <c r="G178" s="7">
        <v>60000</v>
      </c>
      <c r="H178" s="7"/>
      <c r="I178" s="7">
        <f>dataset!$F178-dataset!$J178-dataset!$G178-dataset!$H178</f>
        <v>7200</v>
      </c>
      <c r="J178" s="7">
        <f>dataset!$G178*0.08</f>
        <v>4800</v>
      </c>
      <c r="K178" s="7">
        <f>dataset!$F178*12</f>
        <v>864000</v>
      </c>
      <c r="L178" s="12">
        <f>IF(dataset!$G178&gt;=200000,38%,IF(dataset!$G178&lt;=145000,12.3%,))</f>
        <v>0.12300000000000001</v>
      </c>
      <c r="M178" s="7">
        <f>dataset!$G178*L179*12</f>
        <v>88560.000000000015</v>
      </c>
      <c r="N17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78" s="7">
        <f>dataset!$K178+dataset!$M178</f>
        <v>952560</v>
      </c>
      <c r="P178" s="7">
        <f>Payroll_Data_Analysis[[#This Row],[Annual Salary + KPI Bonus]]/12/29.3*31</f>
        <v>83985.665529010235</v>
      </c>
      <c r="Q178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78" s="7">
        <f>Payroll_Data_Analysis[[#This Row],[Monthly Salary]]*11</f>
        <v>792000</v>
      </c>
      <c r="S178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78" s="7">
        <f>IF(Payroll_Data_Analysis[[#This Row],[Base Salary (Monthly)]]&gt;=200000,69507,IF(Payroll_Data_Analysis[[#This Row],[Base Salary (Monthly)]]&gt;=145000,52684,35103))</f>
        <v>35103</v>
      </c>
      <c r="U178" s="7">
        <f>Payroll_Data_Analysis[[#This Row],[Annual KPI Bonus Reserve]]+Payroll_Data_Analysis[[#This Row],[Vacation Reserve]]+Payroll_Data_Analysis[[#This Row],[11-Month Salary]]</f>
        <v>964545.66552901024</v>
      </c>
      <c r="V178" s="7">
        <f>Payroll_Data_Analysis[[#This Row],[Payroll Taxes (KPI Bonus)]]+Payroll_Data_Analysis[[#This Row],[Payroll Taxes (Vacation)]]+Payroll_Data_Analysis[[#This Row],[Payroll Taxes (Salary)]]</f>
        <v>291292.79098976112</v>
      </c>
      <c r="W178" s="13">
        <f>Payroll_Data_Analysis[[#This Row],[Total Payroll]]+Payroll_Data_Analysis[[#This Row],[Total Payroll Taxes]]</f>
        <v>1255838.4565187714</v>
      </c>
    </row>
    <row r="179" spans="1:23">
      <c r="A179" s="11" t="s">
        <v>653</v>
      </c>
      <c r="B179" s="5" t="s">
        <v>182</v>
      </c>
      <c r="C179" s="5" t="s">
        <v>719</v>
      </c>
      <c r="D179" s="28" t="str">
        <f>VLOOKUP(Payroll_Data_Analysis[[#This Row],[Position]],Position_Map!$A$2:$B$58,2,FALSE)</f>
        <v>Technical</v>
      </c>
      <c r="E179" s="6">
        <v>1</v>
      </c>
      <c r="F179" s="7">
        <v>72000</v>
      </c>
      <c r="G179" s="7">
        <v>60000</v>
      </c>
      <c r="H179" s="7"/>
      <c r="I179" s="7">
        <f>dataset!$F179-dataset!$J179-dataset!$G179-dataset!$H179</f>
        <v>7200</v>
      </c>
      <c r="J179" s="7">
        <f>dataset!$G179*0.08</f>
        <v>4800</v>
      </c>
      <c r="K179" s="7">
        <f>dataset!$F179*12</f>
        <v>864000</v>
      </c>
      <c r="L179" s="12">
        <f>IF(dataset!$G179&gt;=200000,38%,IF(dataset!$G179&lt;=145000,12.3%,))</f>
        <v>0.12300000000000001</v>
      </c>
      <c r="M179" s="7">
        <f>dataset!$G179*L180*12</f>
        <v>88560.000000000015</v>
      </c>
      <c r="N17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79" s="7">
        <f>dataset!$K179+dataset!$M179</f>
        <v>952560</v>
      </c>
      <c r="P179" s="7">
        <f>Payroll_Data_Analysis[[#This Row],[Annual Salary + KPI Bonus]]/12/29.3*31</f>
        <v>83985.665529010235</v>
      </c>
      <c r="Q179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79" s="7">
        <f>Payroll_Data_Analysis[[#This Row],[Monthly Salary]]*11</f>
        <v>792000</v>
      </c>
      <c r="S179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79" s="7">
        <f>IF(Payroll_Data_Analysis[[#This Row],[Base Salary (Monthly)]]&gt;=200000,69507,IF(Payroll_Data_Analysis[[#This Row],[Base Salary (Monthly)]]&gt;=145000,52684,35103))</f>
        <v>35103</v>
      </c>
      <c r="U179" s="7">
        <f>Payroll_Data_Analysis[[#This Row],[Annual KPI Bonus Reserve]]+Payroll_Data_Analysis[[#This Row],[Vacation Reserve]]+Payroll_Data_Analysis[[#This Row],[11-Month Salary]]</f>
        <v>964545.66552901024</v>
      </c>
      <c r="V179" s="7">
        <f>Payroll_Data_Analysis[[#This Row],[Payroll Taxes (KPI Bonus)]]+Payroll_Data_Analysis[[#This Row],[Payroll Taxes (Vacation)]]+Payroll_Data_Analysis[[#This Row],[Payroll Taxes (Salary)]]</f>
        <v>291292.79098976112</v>
      </c>
      <c r="W179" s="13">
        <f>Payroll_Data_Analysis[[#This Row],[Total Payroll]]+Payroll_Data_Analysis[[#This Row],[Total Payroll Taxes]]</f>
        <v>1255838.4565187714</v>
      </c>
    </row>
    <row r="180" spans="1:23">
      <c r="A180" s="11" t="s">
        <v>653</v>
      </c>
      <c r="B180" s="5" t="s">
        <v>183</v>
      </c>
      <c r="C180" s="5" t="s">
        <v>719</v>
      </c>
      <c r="D180" s="28" t="str">
        <f>VLOOKUP(Payroll_Data_Analysis[[#This Row],[Position]],Position_Map!$A$2:$B$58,2,FALSE)</f>
        <v>Technical</v>
      </c>
      <c r="E180" s="6">
        <v>1</v>
      </c>
      <c r="F180" s="7">
        <v>72000</v>
      </c>
      <c r="G180" s="7">
        <v>60000</v>
      </c>
      <c r="H180" s="7"/>
      <c r="I180" s="7">
        <f>dataset!$F180-dataset!$J180-dataset!$G180-dataset!$H180</f>
        <v>7200</v>
      </c>
      <c r="J180" s="7">
        <f>dataset!$G180*0.08</f>
        <v>4800</v>
      </c>
      <c r="K180" s="7">
        <f>dataset!$F180*12</f>
        <v>864000</v>
      </c>
      <c r="L180" s="12">
        <f>IF(dataset!$G180&gt;=200000,38%,IF(dataset!$G180&lt;=145000,12.3%,))</f>
        <v>0.12300000000000001</v>
      </c>
      <c r="M180" s="7">
        <f>dataset!$G180*L181*12</f>
        <v>88560.000000000015</v>
      </c>
      <c r="N18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0" s="7">
        <f>dataset!$K180+dataset!$M180</f>
        <v>952560</v>
      </c>
      <c r="P180" s="7">
        <f>Payroll_Data_Analysis[[#This Row],[Annual Salary + KPI Bonus]]/12/29.3*31</f>
        <v>83985.665529010235</v>
      </c>
      <c r="Q180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80" s="7">
        <f>Payroll_Data_Analysis[[#This Row],[Monthly Salary]]*11</f>
        <v>792000</v>
      </c>
      <c r="S180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80" s="7">
        <f>IF(Payroll_Data_Analysis[[#This Row],[Base Salary (Monthly)]]&gt;=200000,69507,IF(Payroll_Data_Analysis[[#This Row],[Base Salary (Monthly)]]&gt;=145000,52684,35103))</f>
        <v>35103</v>
      </c>
      <c r="U180" s="7">
        <f>Payroll_Data_Analysis[[#This Row],[Annual KPI Bonus Reserve]]+Payroll_Data_Analysis[[#This Row],[Vacation Reserve]]+Payroll_Data_Analysis[[#This Row],[11-Month Salary]]</f>
        <v>964545.66552901024</v>
      </c>
      <c r="V180" s="7">
        <f>Payroll_Data_Analysis[[#This Row],[Payroll Taxes (KPI Bonus)]]+Payroll_Data_Analysis[[#This Row],[Payroll Taxes (Vacation)]]+Payroll_Data_Analysis[[#This Row],[Payroll Taxes (Salary)]]</f>
        <v>291292.79098976112</v>
      </c>
      <c r="W180" s="13">
        <f>Payroll_Data_Analysis[[#This Row],[Total Payroll]]+Payroll_Data_Analysis[[#This Row],[Total Payroll Taxes]]</f>
        <v>1255838.4565187714</v>
      </c>
    </row>
    <row r="181" spans="1:23">
      <c r="A181" s="11" t="s">
        <v>653</v>
      </c>
      <c r="B181" s="5" t="s">
        <v>184</v>
      </c>
      <c r="C181" s="5" t="s">
        <v>719</v>
      </c>
      <c r="D181" s="28" t="str">
        <f>VLOOKUP(Payroll_Data_Analysis[[#This Row],[Position]],Position_Map!$A$2:$B$58,2,FALSE)</f>
        <v>Technical</v>
      </c>
      <c r="E181" s="6">
        <v>1</v>
      </c>
      <c r="F181" s="7">
        <v>72000</v>
      </c>
      <c r="G181" s="7">
        <v>60000</v>
      </c>
      <c r="H181" s="7"/>
      <c r="I181" s="7">
        <f>dataset!$F181-dataset!$J181-dataset!$G181-dataset!$H181</f>
        <v>7200</v>
      </c>
      <c r="J181" s="7">
        <f>dataset!$G181*0.08</f>
        <v>4800</v>
      </c>
      <c r="K181" s="7">
        <f>dataset!$F181*12</f>
        <v>864000</v>
      </c>
      <c r="L181" s="12">
        <f>IF(dataset!$G181&gt;=200000,38%,IF(dataset!$G181&lt;=145000,12.3%,))</f>
        <v>0.12300000000000001</v>
      </c>
      <c r="M181" s="7">
        <f>dataset!$G181*L182*12</f>
        <v>88560.000000000015</v>
      </c>
      <c r="N18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1" s="7">
        <f>dataset!$K181+dataset!$M181</f>
        <v>952560</v>
      </c>
      <c r="P181" s="7">
        <f>Payroll_Data_Analysis[[#This Row],[Annual Salary + KPI Bonus]]/12/29.3*31</f>
        <v>83985.665529010235</v>
      </c>
      <c r="Q181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81" s="7">
        <f>Payroll_Data_Analysis[[#This Row],[Monthly Salary]]*11</f>
        <v>792000</v>
      </c>
      <c r="S181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81" s="7">
        <f>IF(Payroll_Data_Analysis[[#This Row],[Base Salary (Monthly)]]&gt;=200000,69507,IF(Payroll_Data_Analysis[[#This Row],[Base Salary (Monthly)]]&gt;=145000,52684,35103))</f>
        <v>35103</v>
      </c>
      <c r="U181" s="7">
        <f>Payroll_Data_Analysis[[#This Row],[Annual KPI Bonus Reserve]]+Payroll_Data_Analysis[[#This Row],[Vacation Reserve]]+Payroll_Data_Analysis[[#This Row],[11-Month Salary]]</f>
        <v>964545.66552901024</v>
      </c>
      <c r="V181" s="7">
        <f>Payroll_Data_Analysis[[#This Row],[Payroll Taxes (KPI Bonus)]]+Payroll_Data_Analysis[[#This Row],[Payroll Taxes (Vacation)]]+Payroll_Data_Analysis[[#This Row],[Payroll Taxes (Salary)]]</f>
        <v>291292.79098976112</v>
      </c>
      <c r="W181" s="13">
        <f>Payroll_Data_Analysis[[#This Row],[Total Payroll]]+Payroll_Data_Analysis[[#This Row],[Total Payroll Taxes]]</f>
        <v>1255838.4565187714</v>
      </c>
    </row>
    <row r="182" spans="1:23">
      <c r="A182" s="11" t="s">
        <v>653</v>
      </c>
      <c r="B182" s="5" t="s">
        <v>185</v>
      </c>
      <c r="C182" s="5" t="s">
        <v>719</v>
      </c>
      <c r="D182" s="28" t="str">
        <f>VLOOKUP(Payroll_Data_Analysis[[#This Row],[Position]],Position_Map!$A$2:$B$58,2,FALSE)</f>
        <v>Technical</v>
      </c>
      <c r="E182" s="6">
        <v>1</v>
      </c>
      <c r="F182" s="7">
        <v>72000</v>
      </c>
      <c r="G182" s="7">
        <v>60000</v>
      </c>
      <c r="H182" s="7"/>
      <c r="I182" s="7">
        <f>dataset!$F182-dataset!$J182-dataset!$G182-dataset!$H182</f>
        <v>7200</v>
      </c>
      <c r="J182" s="7">
        <f>dataset!$G182*0.08</f>
        <v>4800</v>
      </c>
      <c r="K182" s="7">
        <f>dataset!$F182*12</f>
        <v>864000</v>
      </c>
      <c r="L182" s="12">
        <f>IF(dataset!$G182&gt;=200000,38%,IF(dataset!$G182&lt;=145000,12.3%,))</f>
        <v>0.12300000000000001</v>
      </c>
      <c r="M182" s="7">
        <f>dataset!$G182*L183*12</f>
        <v>88560.000000000015</v>
      </c>
      <c r="N18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2" s="7">
        <f>dataset!$K182+dataset!$M182</f>
        <v>952560</v>
      </c>
      <c r="P182" s="7">
        <f>Payroll_Data_Analysis[[#This Row],[Annual Salary + KPI Bonus]]/12/29.3*31</f>
        <v>83985.665529010235</v>
      </c>
      <c r="Q182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82" s="7">
        <f>Payroll_Data_Analysis[[#This Row],[Monthly Salary]]*11</f>
        <v>792000</v>
      </c>
      <c r="S182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82" s="7">
        <f>IF(Payroll_Data_Analysis[[#This Row],[Base Salary (Monthly)]]&gt;=200000,69507,IF(Payroll_Data_Analysis[[#This Row],[Base Salary (Monthly)]]&gt;=145000,52684,35103))</f>
        <v>35103</v>
      </c>
      <c r="U182" s="7">
        <f>Payroll_Data_Analysis[[#This Row],[Annual KPI Bonus Reserve]]+Payroll_Data_Analysis[[#This Row],[Vacation Reserve]]+Payroll_Data_Analysis[[#This Row],[11-Month Salary]]</f>
        <v>964545.66552901024</v>
      </c>
      <c r="V182" s="7">
        <f>Payroll_Data_Analysis[[#This Row],[Payroll Taxes (KPI Bonus)]]+Payroll_Data_Analysis[[#This Row],[Payroll Taxes (Vacation)]]+Payroll_Data_Analysis[[#This Row],[Payroll Taxes (Salary)]]</f>
        <v>291292.79098976112</v>
      </c>
      <c r="W182" s="13">
        <f>Payroll_Data_Analysis[[#This Row],[Total Payroll]]+Payroll_Data_Analysis[[#This Row],[Total Payroll Taxes]]</f>
        <v>1255838.4565187714</v>
      </c>
    </row>
    <row r="183" spans="1:23">
      <c r="A183" s="11" t="s">
        <v>653</v>
      </c>
      <c r="B183" s="5" t="s">
        <v>186</v>
      </c>
      <c r="C183" s="5" t="s">
        <v>719</v>
      </c>
      <c r="D183" s="28" t="str">
        <f>VLOOKUP(Payroll_Data_Analysis[[#This Row],[Position]],Position_Map!$A$2:$B$58,2,FALSE)</f>
        <v>Technical</v>
      </c>
      <c r="E183" s="6">
        <v>1</v>
      </c>
      <c r="F183" s="7">
        <v>72000</v>
      </c>
      <c r="G183" s="7">
        <v>60000</v>
      </c>
      <c r="H183" s="7"/>
      <c r="I183" s="7">
        <f>dataset!$F183-dataset!$J183-dataset!$G183-dataset!$H183</f>
        <v>7200</v>
      </c>
      <c r="J183" s="7">
        <f>dataset!$G183*0.08</f>
        <v>4800</v>
      </c>
      <c r="K183" s="7">
        <f>dataset!$F183*12</f>
        <v>864000</v>
      </c>
      <c r="L183" s="12">
        <f>IF(dataset!$G183&gt;=200000,38%,IF(dataset!$G183&lt;=145000,12.3%,))</f>
        <v>0.12300000000000001</v>
      </c>
      <c r="M183" s="7">
        <f>dataset!$G183*L184*12</f>
        <v>88560.000000000015</v>
      </c>
      <c r="N18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3" s="7">
        <f>dataset!$K183+dataset!$M183</f>
        <v>952560</v>
      </c>
      <c r="P183" s="7">
        <f>Payroll_Data_Analysis[[#This Row],[Annual Salary + KPI Bonus]]/12/29.3*31</f>
        <v>83985.665529010235</v>
      </c>
      <c r="Q183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83" s="7">
        <f>Payroll_Data_Analysis[[#This Row],[Monthly Salary]]*11</f>
        <v>792000</v>
      </c>
      <c r="S183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83" s="7">
        <f>IF(Payroll_Data_Analysis[[#This Row],[Base Salary (Monthly)]]&gt;=200000,69507,IF(Payroll_Data_Analysis[[#This Row],[Base Salary (Monthly)]]&gt;=145000,52684,35103))</f>
        <v>35103</v>
      </c>
      <c r="U183" s="7">
        <f>Payroll_Data_Analysis[[#This Row],[Annual KPI Bonus Reserve]]+Payroll_Data_Analysis[[#This Row],[Vacation Reserve]]+Payroll_Data_Analysis[[#This Row],[11-Month Salary]]</f>
        <v>964545.66552901024</v>
      </c>
      <c r="V183" s="7">
        <f>Payroll_Data_Analysis[[#This Row],[Payroll Taxes (KPI Bonus)]]+Payroll_Data_Analysis[[#This Row],[Payroll Taxes (Vacation)]]+Payroll_Data_Analysis[[#This Row],[Payroll Taxes (Salary)]]</f>
        <v>291292.79098976112</v>
      </c>
      <c r="W183" s="13">
        <f>Payroll_Data_Analysis[[#This Row],[Total Payroll]]+Payroll_Data_Analysis[[#This Row],[Total Payroll Taxes]]</f>
        <v>1255838.4565187714</v>
      </c>
    </row>
    <row r="184" spans="1:23">
      <c r="A184" s="11" t="s">
        <v>653</v>
      </c>
      <c r="B184" s="5" t="s">
        <v>187</v>
      </c>
      <c r="C184" s="5" t="s">
        <v>719</v>
      </c>
      <c r="D184" s="28" t="str">
        <f>VLOOKUP(Payroll_Data_Analysis[[#This Row],[Position]],Position_Map!$A$2:$B$58,2,FALSE)</f>
        <v>Technical</v>
      </c>
      <c r="E184" s="6">
        <v>1</v>
      </c>
      <c r="F184" s="7">
        <v>72000</v>
      </c>
      <c r="G184" s="7">
        <v>60000</v>
      </c>
      <c r="H184" s="7"/>
      <c r="I184" s="7">
        <f>dataset!$F184-dataset!$J184-dataset!$G184-dataset!$H184</f>
        <v>7200</v>
      </c>
      <c r="J184" s="7">
        <f>dataset!$G184*0.08</f>
        <v>4800</v>
      </c>
      <c r="K184" s="7">
        <f>dataset!$F184*12</f>
        <v>864000</v>
      </c>
      <c r="L184" s="12">
        <f>IF(dataset!$G184&gt;=200000,38%,IF(dataset!$G184&lt;=145000,12.3%,))</f>
        <v>0.12300000000000001</v>
      </c>
      <c r="M184" s="7">
        <f>dataset!$G184*L185*12</f>
        <v>88560.000000000015</v>
      </c>
      <c r="N18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4" s="7">
        <f>dataset!$K184+dataset!$M184</f>
        <v>952560</v>
      </c>
      <c r="P184" s="7">
        <f>Payroll_Data_Analysis[[#This Row],[Annual Salary + KPI Bonus]]/12/29.3*31</f>
        <v>83985.665529010235</v>
      </c>
      <c r="Q184" s="7">
        <f>IF(Payroll_Data_Analysis[[#This Row],[Vacation Reserve]]&lt;=2979000,Payroll_Data_Analysis[[#This Row],[Vacation Reserve]]*0.302,2979000*0.302+(Payroll_Data_Analysis[[#This Row],[Vacation Reserve]]-2979000)*0.151)</f>
        <v>25363.670989761089</v>
      </c>
      <c r="R184" s="7">
        <f>Payroll_Data_Analysis[[#This Row],[Monthly Salary]]*11</f>
        <v>792000</v>
      </c>
      <c r="S184" s="7">
        <f>IF(Payroll_Data_Analysis[[#This Row],[11-Month Salary]]&lt;=2979000,Payroll_Data_Analysis[[#This Row],[11-Month Salary]]*0.302,2979000*0.302+(Payroll_Data_Analysis[[#This Row],[11-Month Salary]]-2979000)*0.151)</f>
        <v>239184</v>
      </c>
      <c r="T184" s="7">
        <f>IF(Payroll_Data_Analysis[[#This Row],[Base Salary (Monthly)]]&gt;=200000,69507,IF(Payroll_Data_Analysis[[#This Row],[Base Salary (Monthly)]]&gt;=145000,52684,35103))</f>
        <v>35103</v>
      </c>
      <c r="U184" s="7">
        <f>Payroll_Data_Analysis[[#This Row],[Annual KPI Bonus Reserve]]+Payroll_Data_Analysis[[#This Row],[Vacation Reserve]]+Payroll_Data_Analysis[[#This Row],[11-Month Salary]]</f>
        <v>964545.66552901024</v>
      </c>
      <c r="V184" s="7">
        <f>Payroll_Data_Analysis[[#This Row],[Payroll Taxes (KPI Bonus)]]+Payroll_Data_Analysis[[#This Row],[Payroll Taxes (Vacation)]]+Payroll_Data_Analysis[[#This Row],[Payroll Taxes (Salary)]]</f>
        <v>291292.79098976112</v>
      </c>
      <c r="W184" s="13">
        <f>Payroll_Data_Analysis[[#This Row],[Total Payroll]]+Payroll_Data_Analysis[[#This Row],[Total Payroll Taxes]]</f>
        <v>1255838.4565187714</v>
      </c>
    </row>
    <row r="185" spans="1:23">
      <c r="A185" s="11" t="s">
        <v>653</v>
      </c>
      <c r="B185" s="5" t="s">
        <v>188</v>
      </c>
      <c r="C185" s="5" t="s">
        <v>703</v>
      </c>
      <c r="D185" s="28" t="str">
        <f>VLOOKUP(Payroll_Data_Analysis[[#This Row],[Position]],Position_Map!$A$2:$B$58,2,FALSE)</f>
        <v>Management</v>
      </c>
      <c r="E185" s="6">
        <v>1</v>
      </c>
      <c r="F185" s="7">
        <v>178000</v>
      </c>
      <c r="G185" s="7">
        <v>100000</v>
      </c>
      <c r="H185" s="7"/>
      <c r="I185" s="7">
        <f>dataset!$F185-dataset!$J185-dataset!$G185-dataset!$H185</f>
        <v>70000</v>
      </c>
      <c r="J185" s="7">
        <f>dataset!$G185*0.08</f>
        <v>8000</v>
      </c>
      <c r="K185" s="7">
        <f>dataset!$F185*12</f>
        <v>2136000</v>
      </c>
      <c r="L185" s="12">
        <f>IF(dataset!$G185&gt;=200000,38%,IF(dataset!$G185&lt;=145000,12.3%,))</f>
        <v>0.12300000000000001</v>
      </c>
      <c r="M185" s="7">
        <f>dataset!$G185*L186*12</f>
        <v>147600.00000000003</v>
      </c>
      <c r="N18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85" s="7">
        <f>dataset!$K185+dataset!$M185</f>
        <v>2283600</v>
      </c>
      <c r="P185" s="7">
        <f>Payroll_Data_Analysis[[#This Row],[Annual Salary + KPI Bonus]]/12/29.3*31</f>
        <v>201341.29692832765</v>
      </c>
      <c r="Q185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185" s="7">
        <f>Payroll_Data_Analysis[[#This Row],[Monthly Salary]]*11</f>
        <v>1958000</v>
      </c>
      <c r="S185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185" s="7">
        <f>IF(Payroll_Data_Analysis[[#This Row],[Base Salary (Monthly)]]&gt;=200000,69507,IF(Payroll_Data_Analysis[[#This Row],[Base Salary (Monthly)]]&gt;=145000,52684,35103))</f>
        <v>35103</v>
      </c>
      <c r="U185" s="7">
        <f>Payroll_Data_Analysis[[#This Row],[Annual KPI Bonus Reserve]]+Payroll_Data_Analysis[[#This Row],[Vacation Reserve]]+Payroll_Data_Analysis[[#This Row],[11-Month Salary]]</f>
        <v>2306941.2969283275</v>
      </c>
      <c r="V185" s="7">
        <f>Payroll_Data_Analysis[[#This Row],[Payroll Taxes (KPI Bonus)]]+Payroll_Data_Analysis[[#This Row],[Payroll Taxes (Vacation)]]+Payroll_Data_Analysis[[#This Row],[Payroll Taxes (Salary)]]</f>
        <v>696696.27167235501</v>
      </c>
      <c r="W185" s="13">
        <f>Payroll_Data_Analysis[[#This Row],[Total Payroll]]+Payroll_Data_Analysis[[#This Row],[Total Payroll Taxes]]</f>
        <v>3003637.5686006825</v>
      </c>
    </row>
    <row r="186" spans="1:23">
      <c r="A186" s="11" t="s">
        <v>653</v>
      </c>
      <c r="B186" s="5" t="s">
        <v>189</v>
      </c>
      <c r="C186" s="5" t="s">
        <v>708</v>
      </c>
      <c r="D186" s="28" t="str">
        <f>VLOOKUP(Payroll_Data_Analysis[[#This Row],[Position]],Position_Map!$A$2:$B$58,2,FALSE)</f>
        <v>Professional</v>
      </c>
      <c r="E186" s="6">
        <v>1</v>
      </c>
      <c r="F186" s="7">
        <v>148000</v>
      </c>
      <c r="G186" s="7">
        <v>100000</v>
      </c>
      <c r="H186" s="7"/>
      <c r="I186" s="7">
        <f>dataset!$F186-dataset!$J186-dataset!$G186-dataset!$H186</f>
        <v>40000</v>
      </c>
      <c r="J186" s="7">
        <f>dataset!$G186*0.08</f>
        <v>8000</v>
      </c>
      <c r="K186" s="7">
        <f>dataset!$F186*12</f>
        <v>1776000</v>
      </c>
      <c r="L186" s="12">
        <f>IF(dataset!$G186&gt;=200000,38%,IF(dataset!$G186&lt;=145000,12.3%,))</f>
        <v>0.12300000000000001</v>
      </c>
      <c r="M186" s="7">
        <f>dataset!$G186*L187*12</f>
        <v>147600.00000000003</v>
      </c>
      <c r="N18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86" s="7">
        <f>dataset!$K186+dataset!$M186</f>
        <v>1923600</v>
      </c>
      <c r="P186" s="7">
        <f>Payroll_Data_Analysis[[#This Row],[Annual Salary + KPI Bonus]]/12/29.3*31</f>
        <v>169600.68259385665</v>
      </c>
      <c r="Q186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186" s="7">
        <f>Payroll_Data_Analysis[[#This Row],[Monthly Salary]]*11</f>
        <v>1628000</v>
      </c>
      <c r="S186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186" s="7">
        <f>IF(Payroll_Data_Analysis[[#This Row],[Base Salary (Monthly)]]&gt;=200000,69507,IF(Payroll_Data_Analysis[[#This Row],[Base Salary (Monthly)]]&gt;=145000,52684,35103))</f>
        <v>35103</v>
      </c>
      <c r="U186" s="7">
        <f>Payroll_Data_Analysis[[#This Row],[Annual KPI Bonus Reserve]]+Payroll_Data_Analysis[[#This Row],[Vacation Reserve]]+Payroll_Data_Analysis[[#This Row],[11-Month Salary]]</f>
        <v>1945200.6825938567</v>
      </c>
      <c r="V186" s="7">
        <f>Payroll_Data_Analysis[[#This Row],[Payroll Taxes (KPI Bonus)]]+Payroll_Data_Analysis[[#This Row],[Payroll Taxes (Vacation)]]+Payroll_Data_Analysis[[#This Row],[Payroll Taxes (Salary)]]</f>
        <v>587450.60614334466</v>
      </c>
      <c r="W186" s="13">
        <f>Payroll_Data_Analysis[[#This Row],[Total Payroll]]+Payroll_Data_Analysis[[#This Row],[Total Payroll Taxes]]</f>
        <v>2532651.2887372011</v>
      </c>
    </row>
    <row r="187" spans="1:23">
      <c r="A187" s="11" t="s">
        <v>653</v>
      </c>
      <c r="B187" s="5" t="s">
        <v>190</v>
      </c>
      <c r="C187" s="5" t="s">
        <v>720</v>
      </c>
      <c r="D187" s="28" t="str">
        <f>VLOOKUP(Payroll_Data_Analysis[[#This Row],[Position]],Position_Map!$A$2:$B$58,2,FALSE)</f>
        <v>Technical</v>
      </c>
      <c r="E187" s="6">
        <v>1</v>
      </c>
      <c r="F187" s="7">
        <v>96400</v>
      </c>
      <c r="G187" s="7">
        <v>80000</v>
      </c>
      <c r="H187" s="7"/>
      <c r="I187" s="7">
        <f>dataset!$F187-dataset!$J187-dataset!$G187-dataset!$H187</f>
        <v>10000</v>
      </c>
      <c r="J187" s="7">
        <f>dataset!$G187*0.08</f>
        <v>6400</v>
      </c>
      <c r="K187" s="7">
        <f>dataset!$F187*12</f>
        <v>1156800</v>
      </c>
      <c r="L187" s="12">
        <f>IF(dataset!$G187&gt;=200000,38%,IF(dataset!$G187&lt;=145000,12.3%,))</f>
        <v>0.12300000000000001</v>
      </c>
      <c r="M187" s="7">
        <f>dataset!$G187*L188*12</f>
        <v>118080.00000000003</v>
      </c>
      <c r="N18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87" s="7">
        <f>dataset!$K187+dataset!$M187</f>
        <v>1274880</v>
      </c>
      <c r="P187" s="7">
        <f>Payroll_Data_Analysis[[#This Row],[Annual Salary + KPI Bonus]]/12/29.3*31</f>
        <v>112404.09556313993</v>
      </c>
      <c r="Q187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87" s="7">
        <f>Payroll_Data_Analysis[[#This Row],[Monthly Salary]]*11</f>
        <v>1060400</v>
      </c>
      <c r="S187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87" s="7">
        <f>IF(Payroll_Data_Analysis[[#This Row],[Base Salary (Monthly)]]&gt;=200000,69507,IF(Payroll_Data_Analysis[[#This Row],[Base Salary (Monthly)]]&gt;=145000,52684,35103))</f>
        <v>35103</v>
      </c>
      <c r="U187" s="7">
        <f>Payroll_Data_Analysis[[#This Row],[Annual KPI Bonus Reserve]]+Payroll_Data_Analysis[[#This Row],[Vacation Reserve]]+Payroll_Data_Analysis[[#This Row],[11-Month Salary]]</f>
        <v>1290884.09556314</v>
      </c>
      <c r="V187" s="7">
        <f>Payroll_Data_Analysis[[#This Row],[Payroll Taxes (KPI Bonus)]]+Payroll_Data_Analysis[[#This Row],[Payroll Taxes (Vacation)]]+Payroll_Data_Analysis[[#This Row],[Payroll Taxes (Salary)]]</f>
        <v>389846.99686006829</v>
      </c>
      <c r="W187" s="13">
        <f>Payroll_Data_Analysis[[#This Row],[Total Payroll]]+Payroll_Data_Analysis[[#This Row],[Total Payroll Taxes]]</f>
        <v>1680731.0924232083</v>
      </c>
    </row>
    <row r="188" spans="1:23">
      <c r="A188" s="11" t="s">
        <v>653</v>
      </c>
      <c r="B188" s="5" t="s">
        <v>191</v>
      </c>
      <c r="C188" s="5" t="s">
        <v>720</v>
      </c>
      <c r="D188" s="28" t="str">
        <f>VLOOKUP(Payroll_Data_Analysis[[#This Row],[Position]],Position_Map!$A$2:$B$58,2,FALSE)</f>
        <v>Technical</v>
      </c>
      <c r="E188" s="6">
        <v>1</v>
      </c>
      <c r="F188" s="7">
        <v>96400</v>
      </c>
      <c r="G188" s="7">
        <v>80000</v>
      </c>
      <c r="H188" s="7"/>
      <c r="I188" s="7">
        <f>dataset!$F188-dataset!$J188-dataset!$G188-dataset!$H188</f>
        <v>10000</v>
      </c>
      <c r="J188" s="7">
        <f>dataset!$G188*0.08</f>
        <v>6400</v>
      </c>
      <c r="K188" s="7">
        <f>dataset!$F188*12</f>
        <v>1156800</v>
      </c>
      <c r="L188" s="12">
        <f>IF(dataset!$G188&gt;=200000,38%,IF(dataset!$G188&lt;=145000,12.3%,))</f>
        <v>0.12300000000000001</v>
      </c>
      <c r="M188" s="7">
        <f>dataset!$G188*L189*12</f>
        <v>118080.00000000003</v>
      </c>
      <c r="N18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188" s="7">
        <f>dataset!$K188+dataset!$M188</f>
        <v>1274880</v>
      </c>
      <c r="P188" s="7">
        <f>Payroll_Data_Analysis[[#This Row],[Annual Salary + KPI Bonus]]/12/29.3*31</f>
        <v>112404.09556313993</v>
      </c>
      <c r="Q188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188" s="7">
        <f>Payroll_Data_Analysis[[#This Row],[Monthly Salary]]*11</f>
        <v>1060400</v>
      </c>
      <c r="S188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188" s="7">
        <f>IF(Payroll_Data_Analysis[[#This Row],[Base Salary (Monthly)]]&gt;=200000,69507,IF(Payroll_Data_Analysis[[#This Row],[Base Salary (Monthly)]]&gt;=145000,52684,35103))</f>
        <v>35103</v>
      </c>
      <c r="U188" s="7">
        <f>Payroll_Data_Analysis[[#This Row],[Annual KPI Bonus Reserve]]+Payroll_Data_Analysis[[#This Row],[Vacation Reserve]]+Payroll_Data_Analysis[[#This Row],[11-Month Salary]]</f>
        <v>1290884.09556314</v>
      </c>
      <c r="V188" s="7">
        <f>Payroll_Data_Analysis[[#This Row],[Payroll Taxes (KPI Bonus)]]+Payroll_Data_Analysis[[#This Row],[Payroll Taxes (Vacation)]]+Payroll_Data_Analysis[[#This Row],[Payroll Taxes (Salary)]]</f>
        <v>389846.99686006829</v>
      </c>
      <c r="W188" s="13">
        <f>Payroll_Data_Analysis[[#This Row],[Total Payroll]]+Payroll_Data_Analysis[[#This Row],[Total Payroll Taxes]]</f>
        <v>1680731.0924232083</v>
      </c>
    </row>
    <row r="189" spans="1:23">
      <c r="A189" s="11" t="s">
        <v>653</v>
      </c>
      <c r="B189" s="5" t="s">
        <v>192</v>
      </c>
      <c r="C189" s="5" t="s">
        <v>720</v>
      </c>
      <c r="D189" s="28" t="str">
        <f>VLOOKUP(Payroll_Data_Analysis[[#This Row],[Position]],Position_Map!$A$2:$B$58,2,FALSE)</f>
        <v>Technical</v>
      </c>
      <c r="E189" s="6">
        <v>1</v>
      </c>
      <c r="F189" s="7">
        <v>74000</v>
      </c>
      <c r="G189" s="7">
        <v>60000</v>
      </c>
      <c r="H189" s="7"/>
      <c r="I189" s="7">
        <f>dataset!$F189-dataset!$J189-dataset!$G189-dataset!$H189</f>
        <v>9200</v>
      </c>
      <c r="J189" s="7">
        <f>dataset!$G189*0.08</f>
        <v>4800</v>
      </c>
      <c r="K189" s="7">
        <f>dataset!$F189*12</f>
        <v>888000</v>
      </c>
      <c r="L189" s="12">
        <f>IF(dataset!$G189&gt;=200000,38%,IF(dataset!$G189&lt;=145000,12.3%,))</f>
        <v>0.12300000000000001</v>
      </c>
      <c r="M189" s="7">
        <f>dataset!$G189*L190*12</f>
        <v>88560.000000000015</v>
      </c>
      <c r="N18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189" s="7">
        <f>dataset!$K189+dataset!$M189</f>
        <v>976560</v>
      </c>
      <c r="P189" s="7">
        <f>Payroll_Data_Analysis[[#This Row],[Annual Salary + KPI Bonus]]/12/29.3*31</f>
        <v>86101.706484641632</v>
      </c>
      <c r="Q189" s="7">
        <f>IF(Payroll_Data_Analysis[[#This Row],[Vacation Reserve]]&lt;=2979000,Payroll_Data_Analysis[[#This Row],[Vacation Reserve]]*0.302,2979000*0.302+(Payroll_Data_Analysis[[#This Row],[Vacation Reserve]]-2979000)*0.151)</f>
        <v>26002.715358361773</v>
      </c>
      <c r="R189" s="7">
        <f>Payroll_Data_Analysis[[#This Row],[Monthly Salary]]*11</f>
        <v>814000</v>
      </c>
      <c r="S189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89" s="7">
        <f>IF(Payroll_Data_Analysis[[#This Row],[Base Salary (Monthly)]]&gt;=200000,69507,IF(Payroll_Data_Analysis[[#This Row],[Base Salary (Monthly)]]&gt;=145000,52684,35103))</f>
        <v>35103</v>
      </c>
      <c r="U189" s="7">
        <f>Payroll_Data_Analysis[[#This Row],[Annual KPI Bonus Reserve]]+Payroll_Data_Analysis[[#This Row],[Vacation Reserve]]+Payroll_Data_Analysis[[#This Row],[11-Month Salary]]</f>
        <v>988661.70648464165</v>
      </c>
      <c r="V189" s="7">
        <f>Payroll_Data_Analysis[[#This Row],[Payroll Taxes (KPI Bonus)]]+Payroll_Data_Analysis[[#This Row],[Payroll Taxes (Vacation)]]+Payroll_Data_Analysis[[#This Row],[Payroll Taxes (Salary)]]</f>
        <v>298575.83535836177</v>
      </c>
      <c r="W189" s="13">
        <f>Payroll_Data_Analysis[[#This Row],[Total Payroll]]+Payroll_Data_Analysis[[#This Row],[Total Payroll Taxes]]</f>
        <v>1287237.5418430034</v>
      </c>
    </row>
    <row r="190" spans="1:23">
      <c r="A190" s="11" t="s">
        <v>653</v>
      </c>
      <c r="B190" s="5" t="s">
        <v>193</v>
      </c>
      <c r="C190" s="5" t="s">
        <v>720</v>
      </c>
      <c r="D190" s="28" t="str">
        <f>VLOOKUP(Payroll_Data_Analysis[[#This Row],[Position]],Position_Map!$A$2:$B$58,2,FALSE)</f>
        <v>Technical</v>
      </c>
      <c r="E190" s="6">
        <v>1</v>
      </c>
      <c r="F190" s="7">
        <v>74000</v>
      </c>
      <c r="G190" s="7">
        <v>60000</v>
      </c>
      <c r="H190" s="7"/>
      <c r="I190" s="7">
        <f>dataset!$F190-dataset!$J190-dataset!$G190-dataset!$H190</f>
        <v>9200</v>
      </c>
      <c r="J190" s="7">
        <f>dataset!$G190*0.08</f>
        <v>4800</v>
      </c>
      <c r="K190" s="7">
        <f>dataset!$F190*12</f>
        <v>888000</v>
      </c>
      <c r="L190" s="12">
        <f>IF(dataset!$G190&gt;=200000,38%,IF(dataset!$G190&lt;=145000,12.3%,))</f>
        <v>0.12300000000000001</v>
      </c>
      <c r="M190" s="7">
        <f>dataset!$G190*L191*12</f>
        <v>273600</v>
      </c>
      <c r="N190" s="7">
        <f>IF(Payroll_Data_Analysis[[#This Row],[Annual KPI Bonus Reserve]]&lt;=2979000,Payroll_Data_Analysis[[#This Row],[Annual KPI Bonus Reserve]]*0.302,2979000*0.302+(Payroll_Data_Analysis[[#This Row],[Annual KPI Bonus Reserve]]-2979000)*0.151)</f>
        <v>82627.199999999997</v>
      </c>
      <c r="O190" s="7">
        <f>dataset!$K190+dataset!$M190</f>
        <v>1161600</v>
      </c>
      <c r="P190" s="7">
        <f>Payroll_Data_Analysis[[#This Row],[Annual Salary + KPI Bonus]]/12/29.3*31</f>
        <v>102416.38225255972</v>
      </c>
      <c r="Q190" s="7">
        <f>IF(Payroll_Data_Analysis[[#This Row],[Vacation Reserve]]&lt;=2979000,Payroll_Data_Analysis[[#This Row],[Vacation Reserve]]*0.302,2979000*0.302+(Payroll_Data_Analysis[[#This Row],[Vacation Reserve]]-2979000)*0.151)</f>
        <v>30929.747440273033</v>
      </c>
      <c r="R190" s="7">
        <f>Payroll_Data_Analysis[[#This Row],[Monthly Salary]]*11</f>
        <v>814000</v>
      </c>
      <c r="S190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190" s="7">
        <f>IF(Payroll_Data_Analysis[[#This Row],[Base Salary (Monthly)]]&gt;=200000,69507,IF(Payroll_Data_Analysis[[#This Row],[Base Salary (Monthly)]]&gt;=145000,52684,35103))</f>
        <v>35103</v>
      </c>
      <c r="U190" s="7">
        <f>Payroll_Data_Analysis[[#This Row],[Annual KPI Bonus Reserve]]+Payroll_Data_Analysis[[#This Row],[Vacation Reserve]]+Payroll_Data_Analysis[[#This Row],[11-Month Salary]]</f>
        <v>1190016.3822525598</v>
      </c>
      <c r="V190" s="7">
        <f>Payroll_Data_Analysis[[#This Row],[Payroll Taxes (KPI Bonus)]]+Payroll_Data_Analysis[[#This Row],[Payroll Taxes (Vacation)]]+Payroll_Data_Analysis[[#This Row],[Payroll Taxes (Salary)]]</f>
        <v>359384.94744027301</v>
      </c>
      <c r="W190" s="13">
        <f>Payroll_Data_Analysis[[#This Row],[Total Payroll]]+Payroll_Data_Analysis[[#This Row],[Total Payroll Taxes]]</f>
        <v>1549401.3296928327</v>
      </c>
    </row>
    <row r="191" spans="1:23">
      <c r="A191" s="11" t="s">
        <v>654</v>
      </c>
      <c r="B191" s="5" t="s">
        <v>194</v>
      </c>
      <c r="C191" s="5" t="s">
        <v>722</v>
      </c>
      <c r="D191" s="28" t="str">
        <f>VLOOKUP(Payroll_Data_Analysis[[#This Row],[Position]],Position_Map!$A$2:$B$58,2,FALSE)</f>
        <v>Executive</v>
      </c>
      <c r="E191" s="6">
        <v>1</v>
      </c>
      <c r="F191" s="7">
        <v>336000</v>
      </c>
      <c r="G191" s="7">
        <v>200000</v>
      </c>
      <c r="H191" s="7"/>
      <c r="I191" s="7">
        <f>dataset!$F191-dataset!$J191-dataset!$G191-dataset!$H191</f>
        <v>120000</v>
      </c>
      <c r="J191" s="7">
        <f>dataset!$G191*0.08</f>
        <v>16000</v>
      </c>
      <c r="K191" s="7">
        <f>dataset!$F191*12</f>
        <v>4032000</v>
      </c>
      <c r="L191" s="12">
        <f>IF(dataset!$G191&gt;=200000,38%,IF(dataset!$G191&lt;=145000,12.3%,))</f>
        <v>0.38</v>
      </c>
      <c r="M191" s="7">
        <f>dataset!$G191*L192*12</f>
        <v>912000</v>
      </c>
      <c r="N191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191" s="7">
        <f>dataset!$K191+dataset!$M191</f>
        <v>4944000</v>
      </c>
      <c r="P191" s="7">
        <f>Payroll_Data_Analysis[[#This Row],[Annual Salary + KPI Bonus]]/12/29.3*31</f>
        <v>435904.43686006824</v>
      </c>
      <c r="Q191" s="7">
        <f>IF(Payroll_Data_Analysis[[#This Row],[Vacation Reserve]]&lt;=2979000,Payroll_Data_Analysis[[#This Row],[Vacation Reserve]]*0.302,2979000*0.302+(Payroll_Data_Analysis[[#This Row],[Vacation Reserve]]-2979000)*0.151)</f>
        <v>131643.13993174062</v>
      </c>
      <c r="R191" s="7">
        <f>Payroll_Data_Analysis[[#This Row],[Monthly Salary]]*11</f>
        <v>3696000</v>
      </c>
      <c r="S191" s="7">
        <f>IF(Payroll_Data_Analysis[[#This Row],[11-Month Salary]]&lt;=2979000,Payroll_Data_Analysis[[#This Row],[11-Month Salary]]*0.302,2979000*0.302+(Payroll_Data_Analysis[[#This Row],[11-Month Salary]]-2979000)*0.151)</f>
        <v>1007925</v>
      </c>
      <c r="T191" s="7">
        <f>IF(Payroll_Data_Analysis[[#This Row],[Base Salary (Monthly)]]&gt;=200000,69507,IF(Payroll_Data_Analysis[[#This Row],[Base Salary (Monthly)]]&gt;=145000,52684,35103))</f>
        <v>69507</v>
      </c>
      <c r="U191" s="7">
        <f>Payroll_Data_Analysis[[#This Row],[Annual KPI Bonus Reserve]]+Payroll_Data_Analysis[[#This Row],[Vacation Reserve]]+Payroll_Data_Analysis[[#This Row],[11-Month Salary]]</f>
        <v>5043904.4368600678</v>
      </c>
      <c r="V191" s="7">
        <f>Payroll_Data_Analysis[[#This Row],[Payroll Taxes (KPI Bonus)]]+Payroll_Data_Analysis[[#This Row],[Payroll Taxes (Vacation)]]+Payroll_Data_Analysis[[#This Row],[Payroll Taxes (Salary)]]</f>
        <v>1414992.1399317407</v>
      </c>
      <c r="W191" s="13">
        <f>Payroll_Data_Analysis[[#This Row],[Total Payroll]]+Payroll_Data_Analysis[[#This Row],[Total Payroll Taxes]]</f>
        <v>6458896.576791808</v>
      </c>
    </row>
    <row r="192" spans="1:23">
      <c r="A192" s="11" t="s">
        <v>654</v>
      </c>
      <c r="B192" s="5" t="s">
        <v>195</v>
      </c>
      <c r="C192" s="5" t="s">
        <v>723</v>
      </c>
      <c r="D192" s="28" t="str">
        <f>VLOOKUP(Payroll_Data_Analysis[[#This Row],[Position]],Position_Map!$A$2:$B$58,2,FALSE)</f>
        <v>Management</v>
      </c>
      <c r="E192" s="6">
        <v>1</v>
      </c>
      <c r="F192" s="7">
        <v>301000</v>
      </c>
      <c r="G192" s="7">
        <v>200000</v>
      </c>
      <c r="H192" s="7"/>
      <c r="I192" s="7">
        <f>dataset!$F192-dataset!$J192-dataset!$G192-dataset!$H192</f>
        <v>85000</v>
      </c>
      <c r="J192" s="7">
        <f>dataset!$G192*0.08</f>
        <v>16000</v>
      </c>
      <c r="K192" s="7">
        <f>dataset!$F192*12</f>
        <v>3612000</v>
      </c>
      <c r="L192" s="12">
        <f>IF(dataset!$G192&gt;=200000,38%,IF(dataset!$G192&lt;=145000,12.3%,))</f>
        <v>0.38</v>
      </c>
      <c r="M192" s="7">
        <f>dataset!$G192*L193*12</f>
        <v>295200.00000000006</v>
      </c>
      <c r="N192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192" s="7">
        <f>dataset!$K192+dataset!$M192</f>
        <v>3907200</v>
      </c>
      <c r="P192" s="7">
        <f>Payroll_Data_Analysis[[#This Row],[Annual Salary + KPI Bonus]]/12/29.3*31</f>
        <v>344491.46757679182</v>
      </c>
      <c r="Q192" s="7">
        <f>IF(Payroll_Data_Analysis[[#This Row],[Vacation Reserve]]&lt;=2979000,Payroll_Data_Analysis[[#This Row],[Vacation Reserve]]*0.302,2979000*0.302+(Payroll_Data_Analysis[[#This Row],[Vacation Reserve]]-2979000)*0.151)</f>
        <v>104036.42320819113</v>
      </c>
      <c r="R192" s="7">
        <f>Payroll_Data_Analysis[[#This Row],[Monthly Salary]]*11</f>
        <v>3311000</v>
      </c>
      <c r="S192" s="7">
        <f>IF(Payroll_Data_Analysis[[#This Row],[11-Month Salary]]&lt;=2979000,Payroll_Data_Analysis[[#This Row],[11-Month Salary]]*0.302,2979000*0.302+(Payroll_Data_Analysis[[#This Row],[11-Month Salary]]-2979000)*0.151)</f>
        <v>949790</v>
      </c>
      <c r="T192" s="7">
        <f>IF(Payroll_Data_Analysis[[#This Row],[Base Salary (Monthly)]]&gt;=200000,69507,IF(Payroll_Data_Analysis[[#This Row],[Base Salary (Monthly)]]&gt;=145000,52684,35103))</f>
        <v>69507</v>
      </c>
      <c r="U192" s="7">
        <f>Payroll_Data_Analysis[[#This Row],[Annual KPI Bonus Reserve]]+Payroll_Data_Analysis[[#This Row],[Vacation Reserve]]+Payroll_Data_Analysis[[#This Row],[11-Month Salary]]</f>
        <v>3950691.467576792</v>
      </c>
      <c r="V192" s="7">
        <f>Payroll_Data_Analysis[[#This Row],[Payroll Taxes (KPI Bonus)]]+Payroll_Data_Analysis[[#This Row],[Payroll Taxes (Vacation)]]+Payroll_Data_Analysis[[#This Row],[Payroll Taxes (Salary)]]</f>
        <v>1142976.8232081912</v>
      </c>
      <c r="W192" s="13">
        <f>Payroll_Data_Analysis[[#This Row],[Total Payroll]]+Payroll_Data_Analysis[[#This Row],[Total Payroll Taxes]]</f>
        <v>5093668.290784983</v>
      </c>
    </row>
    <row r="193" spans="1:23">
      <c r="A193" s="11" t="s">
        <v>654</v>
      </c>
      <c r="B193" s="5" t="s">
        <v>196</v>
      </c>
      <c r="C193" s="5" t="s">
        <v>723</v>
      </c>
      <c r="D193" s="28" t="str">
        <f>VLOOKUP(Payroll_Data_Analysis[[#This Row],[Position]],Position_Map!$A$2:$B$58,2,FALSE)</f>
        <v>Management</v>
      </c>
      <c r="E193" s="6">
        <v>1</v>
      </c>
      <c r="F193" s="7">
        <v>238600</v>
      </c>
      <c r="G193" s="7">
        <v>145000</v>
      </c>
      <c r="H193" s="7"/>
      <c r="I193" s="7">
        <f>dataset!$F193-dataset!$J193-dataset!$G193-dataset!$H193</f>
        <v>82000</v>
      </c>
      <c r="J193" s="7">
        <f>dataset!$G193*0.08</f>
        <v>11600</v>
      </c>
      <c r="K193" s="7">
        <f>dataset!$F193*12</f>
        <v>2863200</v>
      </c>
      <c r="L193" s="12">
        <f>IF(dataset!$G193&gt;=200000,38%,IF(dataset!$G193&lt;=145000,12.3%,))</f>
        <v>0.12300000000000001</v>
      </c>
      <c r="M193" s="7">
        <f>dataset!$G193*L194*12</f>
        <v>214020</v>
      </c>
      <c r="N19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3" s="7">
        <f>dataset!$K193+dataset!$M193</f>
        <v>3077220</v>
      </c>
      <c r="P193" s="7">
        <f>Payroll_Data_Analysis[[#This Row],[Annual Salary + KPI Bonus]]/12/29.3*31</f>
        <v>271313.48122866894</v>
      </c>
      <c r="Q193" s="7">
        <f>IF(Payroll_Data_Analysis[[#This Row],[Vacation Reserve]]&lt;=2979000,Payroll_Data_Analysis[[#This Row],[Vacation Reserve]]*0.302,2979000*0.302+(Payroll_Data_Analysis[[#This Row],[Vacation Reserve]]-2979000)*0.151)</f>
        <v>81936.671331058023</v>
      </c>
      <c r="R193" s="7">
        <f>Payroll_Data_Analysis[[#This Row],[Monthly Salary]]*11</f>
        <v>2624600</v>
      </c>
      <c r="S193" s="7">
        <f>IF(Payroll_Data_Analysis[[#This Row],[11-Month Salary]]&lt;=2979000,Payroll_Data_Analysis[[#This Row],[11-Month Salary]]*0.302,2979000*0.302+(Payroll_Data_Analysis[[#This Row],[11-Month Salary]]-2979000)*0.151)</f>
        <v>792629.2</v>
      </c>
      <c r="T193" s="7">
        <f>IF(Payroll_Data_Analysis[[#This Row],[Base Salary (Monthly)]]&gt;=200000,69507,IF(Payroll_Data_Analysis[[#This Row],[Base Salary (Monthly)]]&gt;=145000,52684,35103))</f>
        <v>52684</v>
      </c>
      <c r="U193" s="7">
        <f>Payroll_Data_Analysis[[#This Row],[Annual KPI Bonus Reserve]]+Payroll_Data_Analysis[[#This Row],[Vacation Reserve]]+Payroll_Data_Analysis[[#This Row],[11-Month Salary]]</f>
        <v>3109933.4812286692</v>
      </c>
      <c r="V193" s="7">
        <f>Payroll_Data_Analysis[[#This Row],[Payroll Taxes (KPI Bonus)]]+Payroll_Data_Analysis[[#This Row],[Payroll Taxes (Vacation)]]+Payroll_Data_Analysis[[#This Row],[Payroll Taxes (Salary)]]</f>
        <v>939199.91133105801</v>
      </c>
      <c r="W193" s="13">
        <f>Payroll_Data_Analysis[[#This Row],[Total Payroll]]+Payroll_Data_Analysis[[#This Row],[Total Payroll Taxes]]</f>
        <v>4049133.3925597272</v>
      </c>
    </row>
    <row r="194" spans="1:23">
      <c r="A194" s="11" t="s">
        <v>654</v>
      </c>
      <c r="B194" s="5" t="s">
        <v>197</v>
      </c>
      <c r="C194" s="5" t="s">
        <v>717</v>
      </c>
      <c r="D194" s="28" t="str">
        <f>VLOOKUP(Payroll_Data_Analysis[[#This Row],[Position]],Position_Map!$A$2:$B$58,2,FALSE)</f>
        <v>Engineering</v>
      </c>
      <c r="E194" s="6">
        <v>1</v>
      </c>
      <c r="F194" s="7">
        <v>288000</v>
      </c>
      <c r="G194" s="7">
        <v>145000</v>
      </c>
      <c r="H194" s="7"/>
      <c r="I194" s="7">
        <f>dataset!$F194-dataset!$J194-dataset!$G194-dataset!$H194</f>
        <v>131400</v>
      </c>
      <c r="J194" s="7">
        <f>dataset!$G194*0.08</f>
        <v>11600</v>
      </c>
      <c r="K194" s="7">
        <f>dataset!$F194*12</f>
        <v>3456000</v>
      </c>
      <c r="L194" s="12">
        <f>IF(dataset!$G194&gt;=200000,38%,IF(dataset!$G194&lt;=145000,12.3%,))</f>
        <v>0.12300000000000001</v>
      </c>
      <c r="M194" s="7">
        <f>dataset!$G194*L195*12</f>
        <v>214020</v>
      </c>
      <c r="N194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4" s="7">
        <f>dataset!$K194+dataset!$M194</f>
        <v>3670020</v>
      </c>
      <c r="P194" s="7">
        <f>Payroll_Data_Analysis[[#This Row],[Annual Salary + KPI Bonus]]/12/29.3*31</f>
        <v>323579.69283276447</v>
      </c>
      <c r="Q194" s="7">
        <f>IF(Payroll_Data_Analysis[[#This Row],[Vacation Reserve]]&lt;=2979000,Payroll_Data_Analysis[[#This Row],[Vacation Reserve]]*0.302,2979000*0.302+(Payroll_Data_Analysis[[#This Row],[Vacation Reserve]]-2979000)*0.151)</f>
        <v>97721.067235494862</v>
      </c>
      <c r="R194" s="7">
        <f>Payroll_Data_Analysis[[#This Row],[Monthly Salary]]*11</f>
        <v>3168000</v>
      </c>
      <c r="S194" s="7">
        <f>IF(Payroll_Data_Analysis[[#This Row],[11-Month Salary]]&lt;=2979000,Payroll_Data_Analysis[[#This Row],[11-Month Salary]]*0.302,2979000*0.302+(Payroll_Data_Analysis[[#This Row],[11-Month Salary]]-2979000)*0.151)</f>
        <v>928197</v>
      </c>
      <c r="T194" s="7">
        <f>IF(Payroll_Data_Analysis[[#This Row],[Base Salary (Monthly)]]&gt;=200000,69507,IF(Payroll_Data_Analysis[[#This Row],[Base Salary (Monthly)]]&gt;=145000,52684,35103))</f>
        <v>52684</v>
      </c>
      <c r="U194" s="7">
        <f>Payroll_Data_Analysis[[#This Row],[Annual KPI Bonus Reserve]]+Payroll_Data_Analysis[[#This Row],[Vacation Reserve]]+Payroll_Data_Analysis[[#This Row],[11-Month Salary]]</f>
        <v>3705599.6928327642</v>
      </c>
      <c r="V194" s="7">
        <f>Payroll_Data_Analysis[[#This Row],[Payroll Taxes (KPI Bonus)]]+Payroll_Data_Analysis[[#This Row],[Payroll Taxes (Vacation)]]+Payroll_Data_Analysis[[#This Row],[Payroll Taxes (Salary)]]</f>
        <v>1090552.1072354948</v>
      </c>
      <c r="W194" s="13">
        <f>Payroll_Data_Analysis[[#This Row],[Total Payroll]]+Payroll_Data_Analysis[[#This Row],[Total Payroll Taxes]]</f>
        <v>4796151.8000682592</v>
      </c>
    </row>
    <row r="195" spans="1:23">
      <c r="A195" s="11" t="s">
        <v>654</v>
      </c>
      <c r="B195" s="5" t="s">
        <v>198</v>
      </c>
      <c r="C195" s="5" t="s">
        <v>699</v>
      </c>
      <c r="D195" s="28" t="str">
        <f>VLOOKUP(Payroll_Data_Analysis[[#This Row],[Position]],Position_Map!$A$2:$B$58,2,FALSE)</f>
        <v>Professional</v>
      </c>
      <c r="E195" s="6">
        <v>1</v>
      </c>
      <c r="F195" s="7">
        <v>261600</v>
      </c>
      <c r="G195" s="7">
        <v>145000</v>
      </c>
      <c r="H195" s="7"/>
      <c r="I195" s="7">
        <f>dataset!$F195-dataset!$J195-dataset!$G195-dataset!$H195</f>
        <v>105000</v>
      </c>
      <c r="J195" s="7">
        <f>dataset!$G195*0.08</f>
        <v>11600</v>
      </c>
      <c r="K195" s="7">
        <f>dataset!$F195*12</f>
        <v>3139200</v>
      </c>
      <c r="L195" s="12">
        <f>IF(dataset!$G195&gt;=200000,38%,IF(dataset!$G195&lt;=145000,12.3%,))</f>
        <v>0.12300000000000001</v>
      </c>
      <c r="M195" s="7">
        <f>dataset!$G195*L196*12</f>
        <v>214020</v>
      </c>
      <c r="N19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5" s="7">
        <f>dataset!$K195+dataset!$M195</f>
        <v>3353220</v>
      </c>
      <c r="P195" s="7">
        <f>Payroll_Data_Analysis[[#This Row],[Annual Salary + KPI Bonus]]/12/29.3*31</f>
        <v>295647.95221843006</v>
      </c>
      <c r="Q195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195" s="7">
        <f>Payroll_Data_Analysis[[#This Row],[Monthly Salary]]*11</f>
        <v>2877600</v>
      </c>
      <c r="S195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195" s="7">
        <f>IF(Payroll_Data_Analysis[[#This Row],[Base Salary (Monthly)]]&gt;=200000,69507,IF(Payroll_Data_Analysis[[#This Row],[Base Salary (Monthly)]]&gt;=145000,52684,35103))</f>
        <v>52684</v>
      </c>
      <c r="U195" s="7">
        <f>Payroll_Data_Analysis[[#This Row],[Annual KPI Bonus Reserve]]+Payroll_Data_Analysis[[#This Row],[Vacation Reserve]]+Payroll_Data_Analysis[[#This Row],[11-Month Salary]]</f>
        <v>3387267.9522184301</v>
      </c>
      <c r="V195" s="7">
        <f>Payroll_Data_Analysis[[#This Row],[Payroll Taxes (KPI Bonus)]]+Payroll_Data_Analysis[[#This Row],[Payroll Taxes (Vacation)]]+Payroll_Data_Analysis[[#This Row],[Payroll Taxes (Salary)]]</f>
        <v>1022954.9215699658</v>
      </c>
      <c r="W195" s="13">
        <f>Payroll_Data_Analysis[[#This Row],[Total Payroll]]+Payroll_Data_Analysis[[#This Row],[Total Payroll Taxes]]</f>
        <v>4410222.8737883959</v>
      </c>
    </row>
    <row r="196" spans="1:23">
      <c r="A196" s="11" t="s">
        <v>654</v>
      </c>
      <c r="B196" s="5" t="s">
        <v>199</v>
      </c>
      <c r="C196" s="5" t="s">
        <v>699</v>
      </c>
      <c r="D196" s="28" t="str">
        <f>VLOOKUP(Payroll_Data_Analysis[[#This Row],[Position]],Position_Map!$A$2:$B$58,2,FALSE)</f>
        <v>Professional</v>
      </c>
      <c r="E196" s="6">
        <v>1</v>
      </c>
      <c r="F196" s="7">
        <v>261600</v>
      </c>
      <c r="G196" s="7">
        <v>145000</v>
      </c>
      <c r="H196" s="7"/>
      <c r="I196" s="7">
        <f>dataset!$F196-dataset!$J196-dataset!$G196-dataset!$H196</f>
        <v>105000</v>
      </c>
      <c r="J196" s="7">
        <f>dataset!$G196*0.08</f>
        <v>11600</v>
      </c>
      <c r="K196" s="7">
        <f>dataset!$F196*12</f>
        <v>3139200</v>
      </c>
      <c r="L196" s="12">
        <f>IF(dataset!$G196&gt;=200000,38%,IF(dataset!$G196&lt;=145000,12.3%,))</f>
        <v>0.12300000000000001</v>
      </c>
      <c r="M196" s="7">
        <f>dataset!$G196*L197*12</f>
        <v>214020</v>
      </c>
      <c r="N19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6" s="7">
        <f>dataset!$K196+dataset!$M196</f>
        <v>3353220</v>
      </c>
      <c r="P196" s="7">
        <f>Payroll_Data_Analysis[[#This Row],[Annual Salary + KPI Bonus]]/12/29.3*31</f>
        <v>295647.95221843006</v>
      </c>
      <c r="Q196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196" s="7">
        <f>Payroll_Data_Analysis[[#This Row],[Monthly Salary]]*11</f>
        <v>2877600</v>
      </c>
      <c r="S196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196" s="7">
        <f>IF(Payroll_Data_Analysis[[#This Row],[Base Salary (Monthly)]]&gt;=200000,69507,IF(Payroll_Data_Analysis[[#This Row],[Base Salary (Monthly)]]&gt;=145000,52684,35103))</f>
        <v>52684</v>
      </c>
      <c r="U196" s="7">
        <f>Payroll_Data_Analysis[[#This Row],[Annual KPI Bonus Reserve]]+Payroll_Data_Analysis[[#This Row],[Vacation Reserve]]+Payroll_Data_Analysis[[#This Row],[11-Month Salary]]</f>
        <v>3387267.9522184301</v>
      </c>
      <c r="V196" s="7">
        <f>Payroll_Data_Analysis[[#This Row],[Payroll Taxes (KPI Bonus)]]+Payroll_Data_Analysis[[#This Row],[Payroll Taxes (Vacation)]]+Payroll_Data_Analysis[[#This Row],[Payroll Taxes (Salary)]]</f>
        <v>1022954.9215699658</v>
      </c>
      <c r="W196" s="13">
        <f>Payroll_Data_Analysis[[#This Row],[Total Payroll]]+Payroll_Data_Analysis[[#This Row],[Total Payroll Taxes]]</f>
        <v>4410222.8737883959</v>
      </c>
    </row>
    <row r="197" spans="1:23">
      <c r="A197" s="11" t="s">
        <v>654</v>
      </c>
      <c r="B197" s="5" t="s">
        <v>200</v>
      </c>
      <c r="C197" s="5" t="s">
        <v>708</v>
      </c>
      <c r="D197" s="28" t="str">
        <f>VLOOKUP(Payroll_Data_Analysis[[#This Row],[Position]],Position_Map!$A$2:$B$58,2,FALSE)</f>
        <v>Professional</v>
      </c>
      <c r="E197" s="6">
        <v>1</v>
      </c>
      <c r="F197" s="7">
        <v>211600</v>
      </c>
      <c r="G197" s="7">
        <v>145000</v>
      </c>
      <c r="H197" s="7"/>
      <c r="I197" s="7">
        <f>dataset!$F197-dataset!$J197-dataset!$G197-dataset!$H197</f>
        <v>55000</v>
      </c>
      <c r="J197" s="7">
        <f>dataset!$G197*0.08</f>
        <v>11600</v>
      </c>
      <c r="K197" s="7">
        <f>dataset!$F197*12</f>
        <v>2539200</v>
      </c>
      <c r="L197" s="12">
        <f>IF(dataset!$G197&gt;=200000,38%,IF(dataset!$G197&lt;=145000,12.3%,))</f>
        <v>0.12300000000000001</v>
      </c>
      <c r="M197" s="7">
        <f>dataset!$G197*L198*12</f>
        <v>214020</v>
      </c>
      <c r="N19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197" s="7">
        <f>dataset!$K197+dataset!$M197</f>
        <v>2753220</v>
      </c>
      <c r="P197" s="7">
        <f>Payroll_Data_Analysis[[#This Row],[Annual Salary + KPI Bonus]]/12/29.3*31</f>
        <v>242746.92832764506</v>
      </c>
      <c r="Q197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197" s="7">
        <f>Payroll_Data_Analysis[[#This Row],[Monthly Salary]]*11</f>
        <v>2327600</v>
      </c>
      <c r="S197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197" s="7">
        <f>IF(Payroll_Data_Analysis[[#This Row],[Base Salary (Monthly)]]&gt;=200000,69507,IF(Payroll_Data_Analysis[[#This Row],[Base Salary (Monthly)]]&gt;=145000,52684,35103))</f>
        <v>52684</v>
      </c>
      <c r="U197" s="7">
        <f>Payroll_Data_Analysis[[#This Row],[Annual KPI Bonus Reserve]]+Payroll_Data_Analysis[[#This Row],[Vacation Reserve]]+Payroll_Data_Analysis[[#This Row],[11-Month Salary]]</f>
        <v>2784366.9283276452</v>
      </c>
      <c r="V197" s="7">
        <f>Payroll_Data_Analysis[[#This Row],[Payroll Taxes (KPI Bonus)]]+Payroll_Data_Analysis[[#This Row],[Payroll Taxes (Vacation)]]+Payroll_Data_Analysis[[#This Row],[Payroll Taxes (Salary)]]</f>
        <v>840878.81235494872</v>
      </c>
      <c r="W197" s="13">
        <f>Payroll_Data_Analysis[[#This Row],[Total Payroll]]+Payroll_Data_Analysis[[#This Row],[Total Payroll Taxes]]</f>
        <v>3625245.740682594</v>
      </c>
    </row>
    <row r="198" spans="1:23">
      <c r="A198" s="11" t="s">
        <v>654</v>
      </c>
      <c r="B198" s="5" t="s">
        <v>201</v>
      </c>
      <c r="C198" s="5" t="s">
        <v>709</v>
      </c>
      <c r="D198" s="28" t="str">
        <f>VLOOKUP(Payroll_Data_Analysis[[#This Row],[Position]],Position_Map!$A$2:$B$58,2,FALSE)</f>
        <v>Engineering</v>
      </c>
      <c r="E198" s="6">
        <v>1</v>
      </c>
      <c r="F198" s="7">
        <v>160000</v>
      </c>
      <c r="G198" s="7">
        <v>100000</v>
      </c>
      <c r="H198" s="7"/>
      <c r="I198" s="7">
        <f>dataset!$F198-dataset!$J198-dataset!$G198-dataset!$H198</f>
        <v>52000</v>
      </c>
      <c r="J198" s="7">
        <f>dataset!$G198*0.08</f>
        <v>8000</v>
      </c>
      <c r="K198" s="7">
        <f>dataset!$F198*12</f>
        <v>1920000</v>
      </c>
      <c r="L198" s="12">
        <f>IF(dataset!$G198&gt;=200000,38%,IF(dataset!$G198&lt;=145000,12.3%,))</f>
        <v>0.12300000000000001</v>
      </c>
      <c r="M198" s="7">
        <f>dataset!$G198*L199*12</f>
        <v>147600.00000000003</v>
      </c>
      <c r="N19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98" s="7">
        <f>dataset!$K198+dataset!$M198</f>
        <v>2067600</v>
      </c>
      <c r="P198" s="7">
        <f>Payroll_Data_Analysis[[#This Row],[Annual Salary + KPI Bonus]]/12/29.3*31</f>
        <v>182296.92832764506</v>
      </c>
      <c r="Q198" s="7">
        <f>IF(Payroll_Data_Analysis[[#This Row],[Vacation Reserve]]&lt;=2979000,Payroll_Data_Analysis[[#This Row],[Vacation Reserve]]*0.302,2979000*0.302+(Payroll_Data_Analysis[[#This Row],[Vacation Reserve]]-2979000)*0.151)</f>
        <v>55053.672354948809</v>
      </c>
      <c r="R198" s="7">
        <f>Payroll_Data_Analysis[[#This Row],[Monthly Salary]]*11</f>
        <v>1760000</v>
      </c>
      <c r="S198" s="7">
        <f>IF(Payroll_Data_Analysis[[#This Row],[11-Month Salary]]&lt;=2979000,Payroll_Data_Analysis[[#This Row],[11-Month Salary]]*0.302,2979000*0.302+(Payroll_Data_Analysis[[#This Row],[11-Month Salary]]-2979000)*0.151)</f>
        <v>531520</v>
      </c>
      <c r="T198" s="7">
        <f>IF(Payroll_Data_Analysis[[#This Row],[Base Salary (Monthly)]]&gt;=200000,69507,IF(Payroll_Data_Analysis[[#This Row],[Base Salary (Monthly)]]&gt;=145000,52684,35103))</f>
        <v>35103</v>
      </c>
      <c r="U198" s="7">
        <f>Payroll_Data_Analysis[[#This Row],[Annual KPI Bonus Reserve]]+Payroll_Data_Analysis[[#This Row],[Vacation Reserve]]+Payroll_Data_Analysis[[#This Row],[11-Month Salary]]</f>
        <v>2089896.9283276452</v>
      </c>
      <c r="V198" s="7">
        <f>Payroll_Data_Analysis[[#This Row],[Payroll Taxes (KPI Bonus)]]+Payroll_Data_Analysis[[#This Row],[Payroll Taxes (Vacation)]]+Payroll_Data_Analysis[[#This Row],[Payroll Taxes (Salary)]]</f>
        <v>631148.87235494878</v>
      </c>
      <c r="W198" s="13">
        <f>Payroll_Data_Analysis[[#This Row],[Total Payroll]]+Payroll_Data_Analysis[[#This Row],[Total Payroll Taxes]]</f>
        <v>2721045.8006825941</v>
      </c>
    </row>
    <row r="199" spans="1:23">
      <c r="A199" s="11" t="s">
        <v>654</v>
      </c>
      <c r="B199" s="5" t="s">
        <v>202</v>
      </c>
      <c r="C199" s="5" t="s">
        <v>709</v>
      </c>
      <c r="D199" s="28" t="str">
        <f>VLOOKUP(Payroll_Data_Analysis[[#This Row],[Position]],Position_Map!$A$2:$B$58,2,FALSE)</f>
        <v>Engineering</v>
      </c>
      <c r="E199" s="6">
        <v>1</v>
      </c>
      <c r="F199" s="7">
        <v>160000</v>
      </c>
      <c r="G199" s="7">
        <v>100000</v>
      </c>
      <c r="H199" s="7"/>
      <c r="I199" s="7">
        <f>dataset!$F199-dataset!$J199-dataset!$G199-dataset!$H199</f>
        <v>52000</v>
      </c>
      <c r="J199" s="7">
        <f>dataset!$G199*0.08</f>
        <v>8000</v>
      </c>
      <c r="K199" s="7">
        <f>dataset!$F199*12</f>
        <v>1920000</v>
      </c>
      <c r="L199" s="12">
        <f>IF(dataset!$G199&gt;=200000,38%,IF(dataset!$G199&lt;=145000,12.3%,))</f>
        <v>0.12300000000000001</v>
      </c>
      <c r="M199" s="7">
        <f>dataset!$G199*L200*12</f>
        <v>147600.00000000003</v>
      </c>
      <c r="N19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199" s="7">
        <f>dataset!$K199+dataset!$M199</f>
        <v>2067600</v>
      </c>
      <c r="P199" s="7">
        <f>Payroll_Data_Analysis[[#This Row],[Annual Salary + KPI Bonus]]/12/29.3*31</f>
        <v>182296.92832764506</v>
      </c>
      <c r="Q199" s="7">
        <f>IF(Payroll_Data_Analysis[[#This Row],[Vacation Reserve]]&lt;=2979000,Payroll_Data_Analysis[[#This Row],[Vacation Reserve]]*0.302,2979000*0.302+(Payroll_Data_Analysis[[#This Row],[Vacation Reserve]]-2979000)*0.151)</f>
        <v>55053.672354948809</v>
      </c>
      <c r="R199" s="7">
        <f>Payroll_Data_Analysis[[#This Row],[Monthly Salary]]*11</f>
        <v>1760000</v>
      </c>
      <c r="S199" s="7">
        <f>IF(Payroll_Data_Analysis[[#This Row],[11-Month Salary]]&lt;=2979000,Payroll_Data_Analysis[[#This Row],[11-Month Salary]]*0.302,2979000*0.302+(Payroll_Data_Analysis[[#This Row],[11-Month Salary]]-2979000)*0.151)</f>
        <v>531520</v>
      </c>
      <c r="T199" s="7">
        <f>IF(Payroll_Data_Analysis[[#This Row],[Base Salary (Monthly)]]&gt;=200000,69507,IF(Payroll_Data_Analysis[[#This Row],[Base Salary (Monthly)]]&gt;=145000,52684,35103))</f>
        <v>35103</v>
      </c>
      <c r="U199" s="7">
        <f>Payroll_Data_Analysis[[#This Row],[Annual KPI Bonus Reserve]]+Payroll_Data_Analysis[[#This Row],[Vacation Reserve]]+Payroll_Data_Analysis[[#This Row],[11-Month Salary]]</f>
        <v>2089896.9283276452</v>
      </c>
      <c r="V199" s="7">
        <f>Payroll_Data_Analysis[[#This Row],[Payroll Taxes (KPI Bonus)]]+Payroll_Data_Analysis[[#This Row],[Payroll Taxes (Vacation)]]+Payroll_Data_Analysis[[#This Row],[Payroll Taxes (Salary)]]</f>
        <v>631148.87235494878</v>
      </c>
      <c r="W199" s="13">
        <f>Payroll_Data_Analysis[[#This Row],[Total Payroll]]+Payroll_Data_Analysis[[#This Row],[Total Payroll Taxes]]</f>
        <v>2721045.8006825941</v>
      </c>
    </row>
    <row r="200" spans="1:23">
      <c r="A200" s="11" t="s">
        <v>654</v>
      </c>
      <c r="B200" s="5" t="s">
        <v>203</v>
      </c>
      <c r="C200" s="5" t="s">
        <v>709</v>
      </c>
      <c r="D200" s="28" t="str">
        <f>VLOOKUP(Payroll_Data_Analysis[[#This Row],[Position]],Position_Map!$A$2:$B$58,2,FALSE)</f>
        <v>Engineering</v>
      </c>
      <c r="E200" s="6">
        <v>1</v>
      </c>
      <c r="F200" s="7">
        <v>178000</v>
      </c>
      <c r="G200" s="7">
        <v>100000</v>
      </c>
      <c r="H200" s="7"/>
      <c r="I200" s="7">
        <f>dataset!$F200-dataset!$J200-dataset!$G200-dataset!$H200</f>
        <v>70000</v>
      </c>
      <c r="J200" s="7">
        <f>dataset!$G200*0.08</f>
        <v>8000</v>
      </c>
      <c r="K200" s="7">
        <f>dataset!$F200*12</f>
        <v>2136000</v>
      </c>
      <c r="L200" s="12">
        <f>IF(dataset!$G200&gt;=200000,38%,IF(dataset!$G200&lt;=145000,12.3%,))</f>
        <v>0.12300000000000001</v>
      </c>
      <c r="M200" s="7">
        <f>dataset!$G200*L201*12</f>
        <v>147600.00000000003</v>
      </c>
      <c r="N20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0" s="7">
        <f>dataset!$K200+dataset!$M200</f>
        <v>2283600</v>
      </c>
      <c r="P200" s="7">
        <f>Payroll_Data_Analysis[[#This Row],[Annual Salary + KPI Bonus]]/12/29.3*31</f>
        <v>201341.29692832765</v>
      </c>
      <c r="Q200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200" s="7">
        <f>Payroll_Data_Analysis[[#This Row],[Monthly Salary]]*11</f>
        <v>1958000</v>
      </c>
      <c r="S200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200" s="7">
        <f>IF(Payroll_Data_Analysis[[#This Row],[Base Salary (Monthly)]]&gt;=200000,69507,IF(Payroll_Data_Analysis[[#This Row],[Base Salary (Monthly)]]&gt;=145000,52684,35103))</f>
        <v>35103</v>
      </c>
      <c r="U200" s="7">
        <f>Payroll_Data_Analysis[[#This Row],[Annual KPI Bonus Reserve]]+Payroll_Data_Analysis[[#This Row],[Vacation Reserve]]+Payroll_Data_Analysis[[#This Row],[11-Month Salary]]</f>
        <v>2306941.2969283275</v>
      </c>
      <c r="V200" s="7">
        <f>Payroll_Data_Analysis[[#This Row],[Payroll Taxes (KPI Bonus)]]+Payroll_Data_Analysis[[#This Row],[Payroll Taxes (Vacation)]]+Payroll_Data_Analysis[[#This Row],[Payroll Taxes (Salary)]]</f>
        <v>696696.27167235501</v>
      </c>
      <c r="W200" s="13">
        <f>Payroll_Data_Analysis[[#This Row],[Total Payroll]]+Payroll_Data_Analysis[[#This Row],[Total Payroll Taxes]]</f>
        <v>3003637.5686006825</v>
      </c>
    </row>
    <row r="201" spans="1:23">
      <c r="A201" s="11" t="s">
        <v>654</v>
      </c>
      <c r="B201" s="5" t="s">
        <v>204</v>
      </c>
      <c r="C201" s="5" t="s">
        <v>724</v>
      </c>
      <c r="D201" s="28" t="str">
        <f>VLOOKUP(Payroll_Data_Analysis[[#This Row],[Position]],Position_Map!$A$2:$B$58,2,FALSE)</f>
        <v>Engineering</v>
      </c>
      <c r="E201" s="6">
        <v>1</v>
      </c>
      <c r="F201" s="7">
        <v>121400</v>
      </c>
      <c r="G201" s="7">
        <v>100000</v>
      </c>
      <c r="H201" s="7"/>
      <c r="I201" s="7">
        <f>dataset!$F201-dataset!$J201-dataset!$G201-dataset!$H201</f>
        <v>13400</v>
      </c>
      <c r="J201" s="7">
        <f>dataset!$G201*0.08</f>
        <v>8000</v>
      </c>
      <c r="K201" s="7">
        <f>dataset!$F201*12</f>
        <v>1456800</v>
      </c>
      <c r="L201" s="12">
        <f>IF(dataset!$G201&gt;=200000,38%,IF(dataset!$G201&lt;=145000,12.3%,))</f>
        <v>0.12300000000000001</v>
      </c>
      <c r="M201" s="7">
        <f>dataset!$G201*L202*12</f>
        <v>147600.00000000003</v>
      </c>
      <c r="N20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1" s="7">
        <f>dataset!$K201+dataset!$M201</f>
        <v>1604400</v>
      </c>
      <c r="P201" s="7">
        <f>Payroll_Data_Analysis[[#This Row],[Annual Salary + KPI Bonus]]/12/29.3*31</f>
        <v>141457.33788395903</v>
      </c>
      <c r="Q201" s="7">
        <f>IF(Payroll_Data_Analysis[[#This Row],[Vacation Reserve]]&lt;=2979000,Payroll_Data_Analysis[[#This Row],[Vacation Reserve]]*0.302,2979000*0.302+(Payroll_Data_Analysis[[#This Row],[Vacation Reserve]]-2979000)*0.151)</f>
        <v>42720.116040955625</v>
      </c>
      <c r="R201" s="7">
        <f>Payroll_Data_Analysis[[#This Row],[Monthly Salary]]*11</f>
        <v>1335400</v>
      </c>
      <c r="S201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201" s="7">
        <f>IF(Payroll_Data_Analysis[[#This Row],[Base Salary (Monthly)]]&gt;=200000,69507,IF(Payroll_Data_Analysis[[#This Row],[Base Salary (Monthly)]]&gt;=145000,52684,35103))</f>
        <v>35103</v>
      </c>
      <c r="U201" s="7">
        <f>Payroll_Data_Analysis[[#This Row],[Annual KPI Bonus Reserve]]+Payroll_Data_Analysis[[#This Row],[Vacation Reserve]]+Payroll_Data_Analysis[[#This Row],[11-Month Salary]]</f>
        <v>1624457.3378839591</v>
      </c>
      <c r="V201" s="7">
        <f>Payroll_Data_Analysis[[#This Row],[Payroll Taxes (KPI Bonus)]]+Payroll_Data_Analysis[[#This Row],[Payroll Taxes (Vacation)]]+Payroll_Data_Analysis[[#This Row],[Payroll Taxes (Salary)]]</f>
        <v>490586.11604095565</v>
      </c>
      <c r="W201" s="13">
        <f>Payroll_Data_Analysis[[#This Row],[Total Payroll]]+Payroll_Data_Analysis[[#This Row],[Total Payroll Taxes]]</f>
        <v>2115043.4539249148</v>
      </c>
    </row>
    <row r="202" spans="1:23">
      <c r="A202" s="11" t="s">
        <v>654</v>
      </c>
      <c r="B202" s="5" t="s">
        <v>205</v>
      </c>
      <c r="C202" s="5" t="s">
        <v>709</v>
      </c>
      <c r="D202" s="28" t="str">
        <f>VLOOKUP(Payroll_Data_Analysis[[#This Row],[Position]],Position_Map!$A$2:$B$58,2,FALSE)</f>
        <v>Engineering</v>
      </c>
      <c r="E202" s="6">
        <v>1</v>
      </c>
      <c r="F202" s="7">
        <v>121400</v>
      </c>
      <c r="G202" s="7">
        <v>100000</v>
      </c>
      <c r="H202" s="7"/>
      <c r="I202" s="7">
        <f>dataset!$F202-dataset!$J202-dataset!$G202-dataset!$H202</f>
        <v>13400</v>
      </c>
      <c r="J202" s="7">
        <f>dataset!$G202*0.08</f>
        <v>8000</v>
      </c>
      <c r="K202" s="7">
        <f>dataset!$F202*12</f>
        <v>1456800</v>
      </c>
      <c r="L202" s="12">
        <f>IF(dataset!$G202&gt;=200000,38%,IF(dataset!$G202&lt;=145000,12.3%,))</f>
        <v>0.12300000000000001</v>
      </c>
      <c r="M202" s="7">
        <f>dataset!$G202*L203*12</f>
        <v>147600.00000000003</v>
      </c>
      <c r="N20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2" s="7">
        <f>dataset!$K202+dataset!$M202</f>
        <v>1604400</v>
      </c>
      <c r="P202" s="7">
        <f>Payroll_Data_Analysis[[#This Row],[Annual Salary + KPI Bonus]]/12/29.3*31</f>
        <v>141457.33788395903</v>
      </c>
      <c r="Q202" s="7">
        <f>IF(Payroll_Data_Analysis[[#This Row],[Vacation Reserve]]&lt;=2979000,Payroll_Data_Analysis[[#This Row],[Vacation Reserve]]*0.302,2979000*0.302+(Payroll_Data_Analysis[[#This Row],[Vacation Reserve]]-2979000)*0.151)</f>
        <v>42720.116040955625</v>
      </c>
      <c r="R202" s="7">
        <f>Payroll_Data_Analysis[[#This Row],[Monthly Salary]]*11</f>
        <v>1335400</v>
      </c>
      <c r="S202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202" s="7">
        <f>IF(Payroll_Data_Analysis[[#This Row],[Base Salary (Monthly)]]&gt;=200000,69507,IF(Payroll_Data_Analysis[[#This Row],[Base Salary (Monthly)]]&gt;=145000,52684,35103))</f>
        <v>35103</v>
      </c>
      <c r="U202" s="7">
        <f>Payroll_Data_Analysis[[#This Row],[Annual KPI Bonus Reserve]]+Payroll_Data_Analysis[[#This Row],[Vacation Reserve]]+Payroll_Data_Analysis[[#This Row],[11-Month Salary]]</f>
        <v>1624457.3378839591</v>
      </c>
      <c r="V202" s="7">
        <f>Payroll_Data_Analysis[[#This Row],[Payroll Taxes (KPI Bonus)]]+Payroll_Data_Analysis[[#This Row],[Payroll Taxes (Vacation)]]+Payroll_Data_Analysis[[#This Row],[Payroll Taxes (Salary)]]</f>
        <v>490586.11604095565</v>
      </c>
      <c r="W202" s="13">
        <f>Payroll_Data_Analysis[[#This Row],[Total Payroll]]+Payroll_Data_Analysis[[#This Row],[Total Payroll Taxes]]</f>
        <v>2115043.4539249148</v>
      </c>
    </row>
    <row r="203" spans="1:23">
      <c r="A203" s="11" t="s">
        <v>654</v>
      </c>
      <c r="B203" s="5" t="s">
        <v>206</v>
      </c>
      <c r="C203" s="5" t="s">
        <v>708</v>
      </c>
      <c r="D203" s="28" t="str">
        <f>VLOOKUP(Payroll_Data_Analysis[[#This Row],[Position]],Position_Map!$A$2:$B$58,2,FALSE)</f>
        <v>Professional</v>
      </c>
      <c r="E203" s="6">
        <v>1</v>
      </c>
      <c r="F203" s="7">
        <v>196600</v>
      </c>
      <c r="G203" s="7">
        <v>145000</v>
      </c>
      <c r="H203" s="7"/>
      <c r="I203" s="7">
        <f>dataset!$F203-dataset!$J203-dataset!$G203-dataset!$H203</f>
        <v>40000</v>
      </c>
      <c r="J203" s="7">
        <f>dataset!$G203*0.08</f>
        <v>11600</v>
      </c>
      <c r="K203" s="7">
        <f>dataset!$F203*12</f>
        <v>2359200</v>
      </c>
      <c r="L203" s="12">
        <f>IF(dataset!$G203&gt;=200000,38%,IF(dataset!$G203&lt;=145000,12.3%,))</f>
        <v>0.12300000000000001</v>
      </c>
      <c r="M203" s="7">
        <f>dataset!$G203*L204*12</f>
        <v>214020</v>
      </c>
      <c r="N20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03" s="7">
        <f>dataset!$K203+dataset!$M203</f>
        <v>2573220</v>
      </c>
      <c r="P203" s="7">
        <f>Payroll_Data_Analysis[[#This Row],[Annual Salary + KPI Bonus]]/12/29.3*31</f>
        <v>226876.62116040956</v>
      </c>
      <c r="Q203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203" s="7">
        <f>Payroll_Data_Analysis[[#This Row],[Monthly Salary]]*11</f>
        <v>2162600</v>
      </c>
      <c r="S203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203" s="7">
        <f>IF(Payroll_Data_Analysis[[#This Row],[Base Salary (Monthly)]]&gt;=200000,69507,IF(Payroll_Data_Analysis[[#This Row],[Base Salary (Monthly)]]&gt;=145000,52684,35103))</f>
        <v>52684</v>
      </c>
      <c r="U203" s="7">
        <f>Payroll_Data_Analysis[[#This Row],[Annual KPI Bonus Reserve]]+Payroll_Data_Analysis[[#This Row],[Vacation Reserve]]+Payroll_Data_Analysis[[#This Row],[11-Month Salary]]</f>
        <v>2603496.6211604094</v>
      </c>
      <c r="V203" s="7">
        <f>Payroll_Data_Analysis[[#This Row],[Payroll Taxes (KPI Bonus)]]+Payroll_Data_Analysis[[#This Row],[Payroll Taxes (Vacation)]]+Payroll_Data_Analysis[[#This Row],[Payroll Taxes (Salary)]]</f>
        <v>786255.97959044366</v>
      </c>
      <c r="W203" s="13">
        <f>Payroll_Data_Analysis[[#This Row],[Total Payroll]]+Payroll_Data_Analysis[[#This Row],[Total Payroll Taxes]]</f>
        <v>3389752.6007508533</v>
      </c>
    </row>
    <row r="204" spans="1:23">
      <c r="A204" s="11" t="s">
        <v>654</v>
      </c>
      <c r="B204" s="5" t="s">
        <v>207</v>
      </c>
      <c r="C204" s="5" t="s">
        <v>709</v>
      </c>
      <c r="D204" s="28" t="str">
        <f>VLOOKUP(Payroll_Data_Analysis[[#This Row],[Position]],Position_Map!$A$2:$B$58,2,FALSE)</f>
        <v>Engineering</v>
      </c>
      <c r="E204" s="6">
        <v>1</v>
      </c>
      <c r="F204" s="7">
        <v>173000</v>
      </c>
      <c r="G204" s="7">
        <v>100000</v>
      </c>
      <c r="H204" s="7"/>
      <c r="I204" s="7">
        <f>dataset!$F204-dataset!$J204-dataset!$G204-dataset!$H204</f>
        <v>65000</v>
      </c>
      <c r="J204" s="7">
        <f>dataset!$G204*0.08</f>
        <v>8000</v>
      </c>
      <c r="K204" s="7">
        <f>dataset!$F204*12</f>
        <v>2076000</v>
      </c>
      <c r="L204" s="12">
        <f>IF(dataset!$G204&gt;=200000,38%,IF(dataset!$G204&lt;=145000,12.3%,))</f>
        <v>0.12300000000000001</v>
      </c>
      <c r="M204" s="7">
        <f>dataset!$G204*L205*12</f>
        <v>147600.00000000003</v>
      </c>
      <c r="N20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4" s="7">
        <f>dataset!$K204+dataset!$M204</f>
        <v>2223600</v>
      </c>
      <c r="P204" s="7">
        <f>Payroll_Data_Analysis[[#This Row],[Annual Salary + KPI Bonus]]/12/29.3*31</f>
        <v>196051.19453924915</v>
      </c>
      <c r="Q204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204" s="7">
        <f>Payroll_Data_Analysis[[#This Row],[Monthly Salary]]*11</f>
        <v>1903000</v>
      </c>
      <c r="S204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204" s="7">
        <f>IF(Payroll_Data_Analysis[[#This Row],[Base Salary (Monthly)]]&gt;=200000,69507,IF(Payroll_Data_Analysis[[#This Row],[Base Salary (Monthly)]]&gt;=145000,52684,35103))</f>
        <v>35103</v>
      </c>
      <c r="U204" s="7">
        <f>Payroll_Data_Analysis[[#This Row],[Annual KPI Bonus Reserve]]+Payroll_Data_Analysis[[#This Row],[Vacation Reserve]]+Payroll_Data_Analysis[[#This Row],[11-Month Salary]]</f>
        <v>2246651.1945392489</v>
      </c>
      <c r="V204" s="7">
        <f>Payroll_Data_Analysis[[#This Row],[Payroll Taxes (KPI Bonus)]]+Payroll_Data_Analysis[[#This Row],[Payroll Taxes (Vacation)]]+Payroll_Data_Analysis[[#This Row],[Payroll Taxes (Salary)]]</f>
        <v>678488.66075085325</v>
      </c>
      <c r="W204" s="13">
        <f>Payroll_Data_Analysis[[#This Row],[Total Payroll]]+Payroll_Data_Analysis[[#This Row],[Total Payroll Taxes]]</f>
        <v>2925139.8552901023</v>
      </c>
    </row>
    <row r="205" spans="1:23">
      <c r="A205" s="11" t="s">
        <v>654</v>
      </c>
      <c r="B205" s="5" t="s">
        <v>208</v>
      </c>
      <c r="C205" s="5" t="s">
        <v>709</v>
      </c>
      <c r="D205" s="28" t="str">
        <f>VLOOKUP(Payroll_Data_Analysis[[#This Row],[Position]],Position_Map!$A$2:$B$58,2,FALSE)</f>
        <v>Engineering</v>
      </c>
      <c r="E205" s="6">
        <v>1</v>
      </c>
      <c r="F205" s="7">
        <v>160000</v>
      </c>
      <c r="G205" s="7">
        <v>100000</v>
      </c>
      <c r="H205" s="7"/>
      <c r="I205" s="7">
        <f>dataset!$F205-dataset!$J205-dataset!$G205-dataset!$H205</f>
        <v>52000</v>
      </c>
      <c r="J205" s="7">
        <f>dataset!$G205*0.08</f>
        <v>8000</v>
      </c>
      <c r="K205" s="7">
        <f>dataset!$F205*12</f>
        <v>1920000</v>
      </c>
      <c r="L205" s="12">
        <f>IF(dataset!$G205&gt;=200000,38%,IF(dataset!$G205&lt;=145000,12.3%,))</f>
        <v>0.12300000000000001</v>
      </c>
      <c r="M205" s="7">
        <f>dataset!$G205*L206*12</f>
        <v>147600.00000000003</v>
      </c>
      <c r="N20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5" s="7">
        <f>dataset!$K205+dataset!$M205</f>
        <v>2067600</v>
      </c>
      <c r="P205" s="7">
        <f>Payroll_Data_Analysis[[#This Row],[Annual Salary + KPI Bonus]]/12/29.3*31</f>
        <v>182296.92832764506</v>
      </c>
      <c r="Q205" s="7">
        <f>IF(Payroll_Data_Analysis[[#This Row],[Vacation Reserve]]&lt;=2979000,Payroll_Data_Analysis[[#This Row],[Vacation Reserve]]*0.302,2979000*0.302+(Payroll_Data_Analysis[[#This Row],[Vacation Reserve]]-2979000)*0.151)</f>
        <v>55053.672354948809</v>
      </c>
      <c r="R205" s="7">
        <f>Payroll_Data_Analysis[[#This Row],[Monthly Salary]]*11</f>
        <v>1760000</v>
      </c>
      <c r="S205" s="7">
        <f>IF(Payroll_Data_Analysis[[#This Row],[11-Month Salary]]&lt;=2979000,Payroll_Data_Analysis[[#This Row],[11-Month Salary]]*0.302,2979000*0.302+(Payroll_Data_Analysis[[#This Row],[11-Month Salary]]-2979000)*0.151)</f>
        <v>531520</v>
      </c>
      <c r="T205" s="7">
        <f>IF(Payroll_Data_Analysis[[#This Row],[Base Salary (Monthly)]]&gt;=200000,69507,IF(Payroll_Data_Analysis[[#This Row],[Base Salary (Monthly)]]&gt;=145000,52684,35103))</f>
        <v>35103</v>
      </c>
      <c r="U205" s="7">
        <f>Payroll_Data_Analysis[[#This Row],[Annual KPI Bonus Reserve]]+Payroll_Data_Analysis[[#This Row],[Vacation Reserve]]+Payroll_Data_Analysis[[#This Row],[11-Month Salary]]</f>
        <v>2089896.9283276452</v>
      </c>
      <c r="V205" s="7">
        <f>Payroll_Data_Analysis[[#This Row],[Payroll Taxes (KPI Bonus)]]+Payroll_Data_Analysis[[#This Row],[Payroll Taxes (Vacation)]]+Payroll_Data_Analysis[[#This Row],[Payroll Taxes (Salary)]]</f>
        <v>631148.87235494878</v>
      </c>
      <c r="W205" s="13">
        <f>Payroll_Data_Analysis[[#This Row],[Total Payroll]]+Payroll_Data_Analysis[[#This Row],[Total Payroll Taxes]]</f>
        <v>2721045.8006825941</v>
      </c>
    </row>
    <row r="206" spans="1:23">
      <c r="A206" s="11" t="s">
        <v>654</v>
      </c>
      <c r="B206" s="5" t="s">
        <v>209</v>
      </c>
      <c r="C206" s="5" t="s">
        <v>709</v>
      </c>
      <c r="D206" s="28" t="str">
        <f>VLOOKUP(Payroll_Data_Analysis[[#This Row],[Position]],Position_Map!$A$2:$B$58,2,FALSE)</f>
        <v>Engineering</v>
      </c>
      <c r="E206" s="6">
        <v>1</v>
      </c>
      <c r="F206" s="7">
        <v>173000</v>
      </c>
      <c r="G206" s="7">
        <v>100000</v>
      </c>
      <c r="H206" s="7"/>
      <c r="I206" s="7">
        <f>dataset!$F206-dataset!$J206-dataset!$G206-dataset!$H206</f>
        <v>65000</v>
      </c>
      <c r="J206" s="7">
        <f>dataset!$G206*0.08</f>
        <v>8000</v>
      </c>
      <c r="K206" s="7">
        <f>dataset!$F206*12</f>
        <v>2076000</v>
      </c>
      <c r="L206" s="12">
        <f>IF(dataset!$G206&gt;=200000,38%,IF(dataset!$G206&lt;=145000,12.3%,))</f>
        <v>0.12300000000000001</v>
      </c>
      <c r="M206" s="7">
        <f>dataset!$G206*L207*12</f>
        <v>147600.00000000003</v>
      </c>
      <c r="N20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6" s="7">
        <f>dataset!$K206+dataset!$M206</f>
        <v>2223600</v>
      </c>
      <c r="P206" s="7">
        <f>Payroll_Data_Analysis[[#This Row],[Annual Salary + KPI Bonus]]/12/29.3*31</f>
        <v>196051.19453924915</v>
      </c>
      <c r="Q206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206" s="7">
        <f>Payroll_Data_Analysis[[#This Row],[Monthly Salary]]*11</f>
        <v>1903000</v>
      </c>
      <c r="S206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206" s="7">
        <f>IF(Payroll_Data_Analysis[[#This Row],[Base Salary (Monthly)]]&gt;=200000,69507,IF(Payroll_Data_Analysis[[#This Row],[Base Salary (Monthly)]]&gt;=145000,52684,35103))</f>
        <v>35103</v>
      </c>
      <c r="U206" s="7">
        <f>Payroll_Data_Analysis[[#This Row],[Annual KPI Bonus Reserve]]+Payroll_Data_Analysis[[#This Row],[Vacation Reserve]]+Payroll_Data_Analysis[[#This Row],[11-Month Salary]]</f>
        <v>2246651.1945392489</v>
      </c>
      <c r="V206" s="7">
        <f>Payroll_Data_Analysis[[#This Row],[Payroll Taxes (KPI Bonus)]]+Payroll_Data_Analysis[[#This Row],[Payroll Taxes (Vacation)]]+Payroll_Data_Analysis[[#This Row],[Payroll Taxes (Salary)]]</f>
        <v>678488.66075085325</v>
      </c>
      <c r="W206" s="13">
        <f>Payroll_Data_Analysis[[#This Row],[Total Payroll]]+Payroll_Data_Analysis[[#This Row],[Total Payroll Taxes]]</f>
        <v>2925139.8552901023</v>
      </c>
    </row>
    <row r="207" spans="1:23">
      <c r="A207" s="11" t="s">
        <v>654</v>
      </c>
      <c r="B207" s="5" t="s">
        <v>210</v>
      </c>
      <c r="C207" s="5" t="s">
        <v>724</v>
      </c>
      <c r="D207" s="28" t="str">
        <f>VLOOKUP(Payroll_Data_Analysis[[#This Row],[Position]],Position_Map!$A$2:$B$58,2,FALSE)</f>
        <v>Engineering</v>
      </c>
      <c r="E207" s="6">
        <v>1</v>
      </c>
      <c r="F207" s="7">
        <v>136400</v>
      </c>
      <c r="G207" s="7">
        <v>100000</v>
      </c>
      <c r="H207" s="7"/>
      <c r="I207" s="7">
        <f>dataset!$F207-dataset!$J207-dataset!$G207-dataset!$H207</f>
        <v>28400</v>
      </c>
      <c r="J207" s="7">
        <f>dataset!$G207*0.08</f>
        <v>8000</v>
      </c>
      <c r="K207" s="7">
        <f>dataset!$F207*12</f>
        <v>1636800</v>
      </c>
      <c r="L207" s="12">
        <f>IF(dataset!$G207&gt;=200000,38%,IF(dataset!$G207&lt;=145000,12.3%,))</f>
        <v>0.12300000000000001</v>
      </c>
      <c r="M207" s="7">
        <f>dataset!$G207*L208*12</f>
        <v>147600.00000000003</v>
      </c>
      <c r="N20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07" s="7">
        <f>dataset!$K207+dataset!$M207</f>
        <v>1784400</v>
      </c>
      <c r="P207" s="7">
        <f>Payroll_Data_Analysis[[#This Row],[Annual Salary + KPI Bonus]]/12/29.3*31</f>
        <v>157327.64505119453</v>
      </c>
      <c r="Q207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207" s="7">
        <f>Payroll_Data_Analysis[[#This Row],[Monthly Salary]]*11</f>
        <v>1500400</v>
      </c>
      <c r="S207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207" s="7">
        <f>IF(Payroll_Data_Analysis[[#This Row],[Base Salary (Monthly)]]&gt;=200000,69507,IF(Payroll_Data_Analysis[[#This Row],[Base Salary (Monthly)]]&gt;=145000,52684,35103))</f>
        <v>35103</v>
      </c>
      <c r="U207" s="7">
        <f>Payroll_Data_Analysis[[#This Row],[Annual KPI Bonus Reserve]]+Payroll_Data_Analysis[[#This Row],[Vacation Reserve]]+Payroll_Data_Analysis[[#This Row],[11-Month Salary]]</f>
        <v>1805327.6450511946</v>
      </c>
      <c r="V207" s="7">
        <f>Payroll_Data_Analysis[[#This Row],[Payroll Taxes (KPI Bonus)]]+Payroll_Data_Analysis[[#This Row],[Payroll Taxes (Vacation)]]+Payroll_Data_Analysis[[#This Row],[Payroll Taxes (Salary)]]</f>
        <v>545208.94880546071</v>
      </c>
      <c r="W207" s="13">
        <f>Payroll_Data_Analysis[[#This Row],[Total Payroll]]+Payroll_Data_Analysis[[#This Row],[Total Payroll Taxes]]</f>
        <v>2350536.5938566551</v>
      </c>
    </row>
    <row r="208" spans="1:23">
      <c r="A208" s="11" t="s">
        <v>654</v>
      </c>
      <c r="B208" s="5" t="s">
        <v>211</v>
      </c>
      <c r="C208" s="5" t="s">
        <v>718</v>
      </c>
      <c r="D208" s="28" t="str">
        <f>VLOOKUP(Payroll_Data_Analysis[[#This Row],[Position]],Position_Map!$A$2:$B$58,2,FALSE)</f>
        <v>Technical</v>
      </c>
      <c r="E208" s="6">
        <v>1</v>
      </c>
      <c r="F208" s="7">
        <v>74000</v>
      </c>
      <c r="G208" s="7">
        <v>50000</v>
      </c>
      <c r="H208" s="7"/>
      <c r="I208" s="7">
        <f>dataset!$F208-dataset!$J208-dataset!$G208-dataset!$H208</f>
        <v>20000</v>
      </c>
      <c r="J208" s="7">
        <f>dataset!$G208*0.08</f>
        <v>4000</v>
      </c>
      <c r="K208" s="7">
        <f>dataset!$F208*12</f>
        <v>888000</v>
      </c>
      <c r="L208" s="12">
        <f>IF(dataset!$G208&gt;=200000,38%,IF(dataset!$G208&lt;=145000,12.3%,))</f>
        <v>0.12300000000000001</v>
      </c>
      <c r="M208" s="7">
        <f>dataset!$G208*L209*12</f>
        <v>73800.000000000015</v>
      </c>
      <c r="N208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08" s="7">
        <f>dataset!$K208+dataset!$M208</f>
        <v>961800</v>
      </c>
      <c r="P208" s="7">
        <f>Payroll_Data_Analysis[[#This Row],[Annual Salary + KPI Bonus]]/12/29.3*31</f>
        <v>84800.341296928324</v>
      </c>
      <c r="Q208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08" s="7">
        <f>Payroll_Data_Analysis[[#This Row],[Monthly Salary]]*11</f>
        <v>814000</v>
      </c>
      <c r="S208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08" s="7">
        <f>IF(Payroll_Data_Analysis[[#This Row],[Base Salary (Monthly)]]&gt;=200000,69507,IF(Payroll_Data_Analysis[[#This Row],[Base Salary (Monthly)]]&gt;=145000,52684,35103))</f>
        <v>35103</v>
      </c>
      <c r="U208" s="7">
        <f>Payroll_Data_Analysis[[#This Row],[Annual KPI Bonus Reserve]]+Payroll_Data_Analysis[[#This Row],[Vacation Reserve]]+Payroll_Data_Analysis[[#This Row],[11-Month Salary]]</f>
        <v>972600.34129692835</v>
      </c>
      <c r="V208" s="7">
        <f>Payroll_Data_Analysis[[#This Row],[Payroll Taxes (KPI Bonus)]]+Payroll_Data_Analysis[[#This Row],[Payroll Taxes (Vacation)]]+Payroll_Data_Analysis[[#This Row],[Payroll Taxes (Salary)]]</f>
        <v>293725.30307167233</v>
      </c>
      <c r="W208" s="13">
        <f>Payroll_Data_Analysis[[#This Row],[Total Payroll]]+Payroll_Data_Analysis[[#This Row],[Total Payroll Taxes]]</f>
        <v>1266325.6443686006</v>
      </c>
    </row>
    <row r="209" spans="1:23">
      <c r="A209" s="11" t="s">
        <v>654</v>
      </c>
      <c r="B209" s="5" t="s">
        <v>212</v>
      </c>
      <c r="C209" s="5" t="s">
        <v>718</v>
      </c>
      <c r="D209" s="28" t="str">
        <f>VLOOKUP(Payroll_Data_Analysis[[#This Row],[Position]],Position_Map!$A$2:$B$58,2,FALSE)</f>
        <v>Technical</v>
      </c>
      <c r="E209" s="6">
        <v>1</v>
      </c>
      <c r="F209" s="7">
        <v>74000</v>
      </c>
      <c r="G209" s="7">
        <v>50000</v>
      </c>
      <c r="H209" s="7"/>
      <c r="I209" s="7">
        <f>dataset!$F209-dataset!$J209-dataset!$G209-dataset!$H209</f>
        <v>20000</v>
      </c>
      <c r="J209" s="7">
        <f>dataset!$G209*0.08</f>
        <v>4000</v>
      </c>
      <c r="K209" s="7">
        <f>dataset!$F209*12</f>
        <v>888000</v>
      </c>
      <c r="L209" s="12">
        <f>IF(dataset!$G209&gt;=200000,38%,IF(dataset!$G209&lt;=145000,12.3%,))</f>
        <v>0.12300000000000001</v>
      </c>
      <c r="M209" s="7">
        <f>dataset!$G209*L210*12</f>
        <v>73800.000000000015</v>
      </c>
      <c r="N209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09" s="7">
        <f>dataset!$K209+dataset!$M209</f>
        <v>961800</v>
      </c>
      <c r="P209" s="7">
        <f>Payroll_Data_Analysis[[#This Row],[Annual Salary + KPI Bonus]]/12/29.3*31</f>
        <v>84800.341296928324</v>
      </c>
      <c r="Q209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09" s="7">
        <f>Payroll_Data_Analysis[[#This Row],[Monthly Salary]]*11</f>
        <v>814000</v>
      </c>
      <c r="S209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09" s="7">
        <f>IF(Payroll_Data_Analysis[[#This Row],[Base Salary (Monthly)]]&gt;=200000,69507,IF(Payroll_Data_Analysis[[#This Row],[Base Salary (Monthly)]]&gt;=145000,52684,35103))</f>
        <v>35103</v>
      </c>
      <c r="U209" s="7">
        <f>Payroll_Data_Analysis[[#This Row],[Annual KPI Bonus Reserve]]+Payroll_Data_Analysis[[#This Row],[Vacation Reserve]]+Payroll_Data_Analysis[[#This Row],[11-Month Salary]]</f>
        <v>972600.34129692835</v>
      </c>
      <c r="V209" s="7">
        <f>Payroll_Data_Analysis[[#This Row],[Payroll Taxes (KPI Bonus)]]+Payroll_Data_Analysis[[#This Row],[Payroll Taxes (Vacation)]]+Payroll_Data_Analysis[[#This Row],[Payroll Taxes (Salary)]]</f>
        <v>293725.30307167233</v>
      </c>
      <c r="W209" s="13">
        <f>Payroll_Data_Analysis[[#This Row],[Total Payroll]]+Payroll_Data_Analysis[[#This Row],[Total Payroll Taxes]]</f>
        <v>1266325.6443686006</v>
      </c>
    </row>
    <row r="210" spans="1:23">
      <c r="A210" s="11" t="s">
        <v>654</v>
      </c>
      <c r="B210" s="5" t="s">
        <v>213</v>
      </c>
      <c r="C210" s="5" t="s">
        <v>718</v>
      </c>
      <c r="D210" s="28" t="str">
        <f>VLOOKUP(Payroll_Data_Analysis[[#This Row],[Position]],Position_Map!$A$2:$B$58,2,FALSE)</f>
        <v>Technical</v>
      </c>
      <c r="E210" s="6">
        <v>1</v>
      </c>
      <c r="F210" s="7">
        <v>74000</v>
      </c>
      <c r="G210" s="7">
        <v>50000</v>
      </c>
      <c r="H210" s="7"/>
      <c r="I210" s="7">
        <f>dataset!$F210-dataset!$J210-dataset!$G210-dataset!$H210</f>
        <v>20000</v>
      </c>
      <c r="J210" s="7">
        <f>dataset!$G210*0.08</f>
        <v>4000</v>
      </c>
      <c r="K210" s="7">
        <f>dataset!$F210*12</f>
        <v>888000</v>
      </c>
      <c r="L210" s="12">
        <f>IF(dataset!$G210&gt;=200000,38%,IF(dataset!$G210&lt;=145000,12.3%,))</f>
        <v>0.12300000000000001</v>
      </c>
      <c r="M210" s="7">
        <f>dataset!$G210*L211*12</f>
        <v>73800.000000000015</v>
      </c>
      <c r="N210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0" s="7">
        <f>dataset!$K210+dataset!$M210</f>
        <v>961800</v>
      </c>
      <c r="P210" s="7">
        <f>Payroll_Data_Analysis[[#This Row],[Annual Salary + KPI Bonus]]/12/29.3*31</f>
        <v>84800.341296928324</v>
      </c>
      <c r="Q210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0" s="7">
        <f>Payroll_Data_Analysis[[#This Row],[Monthly Salary]]*11</f>
        <v>814000</v>
      </c>
      <c r="S210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0" s="7">
        <f>IF(Payroll_Data_Analysis[[#This Row],[Base Salary (Monthly)]]&gt;=200000,69507,IF(Payroll_Data_Analysis[[#This Row],[Base Salary (Monthly)]]&gt;=145000,52684,35103))</f>
        <v>35103</v>
      </c>
      <c r="U210" s="7">
        <f>Payroll_Data_Analysis[[#This Row],[Annual KPI Bonus Reserve]]+Payroll_Data_Analysis[[#This Row],[Vacation Reserve]]+Payroll_Data_Analysis[[#This Row],[11-Month Salary]]</f>
        <v>972600.34129692835</v>
      </c>
      <c r="V210" s="7">
        <f>Payroll_Data_Analysis[[#This Row],[Payroll Taxes (KPI Bonus)]]+Payroll_Data_Analysis[[#This Row],[Payroll Taxes (Vacation)]]+Payroll_Data_Analysis[[#This Row],[Payroll Taxes (Salary)]]</f>
        <v>293725.30307167233</v>
      </c>
      <c r="W210" s="13">
        <f>Payroll_Data_Analysis[[#This Row],[Total Payroll]]+Payroll_Data_Analysis[[#This Row],[Total Payroll Taxes]]</f>
        <v>1266325.6443686006</v>
      </c>
    </row>
    <row r="211" spans="1:23">
      <c r="A211" s="11" t="s">
        <v>654</v>
      </c>
      <c r="B211" s="5" t="s">
        <v>214</v>
      </c>
      <c r="C211" s="5" t="s">
        <v>718</v>
      </c>
      <c r="D211" s="28" t="str">
        <f>VLOOKUP(Payroll_Data_Analysis[[#This Row],[Position]],Position_Map!$A$2:$B$58,2,FALSE)</f>
        <v>Technical</v>
      </c>
      <c r="E211" s="6">
        <v>1</v>
      </c>
      <c r="F211" s="7">
        <v>74000</v>
      </c>
      <c r="G211" s="7">
        <v>50000</v>
      </c>
      <c r="H211" s="7"/>
      <c r="I211" s="7">
        <f>dataset!$F211-dataset!$J211-dataset!$G211-dataset!$H211</f>
        <v>20000</v>
      </c>
      <c r="J211" s="7">
        <f>dataset!$G211*0.08</f>
        <v>4000</v>
      </c>
      <c r="K211" s="7">
        <f>dataset!$F211*12</f>
        <v>888000</v>
      </c>
      <c r="L211" s="12">
        <f>IF(dataset!$G211&gt;=200000,38%,IF(dataset!$G211&lt;=145000,12.3%,))</f>
        <v>0.12300000000000001</v>
      </c>
      <c r="M211" s="7">
        <f>dataset!$G211*L212*12</f>
        <v>73800.000000000015</v>
      </c>
      <c r="N211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1" s="7">
        <f>dataset!$K211+dataset!$M211</f>
        <v>961800</v>
      </c>
      <c r="P211" s="7">
        <f>Payroll_Data_Analysis[[#This Row],[Annual Salary + KPI Bonus]]/12/29.3*31</f>
        <v>84800.341296928324</v>
      </c>
      <c r="Q211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1" s="7">
        <f>Payroll_Data_Analysis[[#This Row],[Monthly Salary]]*11</f>
        <v>814000</v>
      </c>
      <c r="S211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1" s="7">
        <f>IF(Payroll_Data_Analysis[[#This Row],[Base Salary (Monthly)]]&gt;=200000,69507,IF(Payroll_Data_Analysis[[#This Row],[Base Salary (Monthly)]]&gt;=145000,52684,35103))</f>
        <v>35103</v>
      </c>
      <c r="U211" s="7">
        <f>Payroll_Data_Analysis[[#This Row],[Annual KPI Bonus Reserve]]+Payroll_Data_Analysis[[#This Row],[Vacation Reserve]]+Payroll_Data_Analysis[[#This Row],[11-Month Salary]]</f>
        <v>972600.34129692835</v>
      </c>
      <c r="V211" s="7">
        <f>Payroll_Data_Analysis[[#This Row],[Payroll Taxes (KPI Bonus)]]+Payroll_Data_Analysis[[#This Row],[Payroll Taxes (Vacation)]]+Payroll_Data_Analysis[[#This Row],[Payroll Taxes (Salary)]]</f>
        <v>293725.30307167233</v>
      </c>
      <c r="W211" s="13">
        <f>Payroll_Data_Analysis[[#This Row],[Total Payroll]]+Payroll_Data_Analysis[[#This Row],[Total Payroll Taxes]]</f>
        <v>1266325.6443686006</v>
      </c>
    </row>
    <row r="212" spans="1:23">
      <c r="A212" s="11" t="s">
        <v>654</v>
      </c>
      <c r="B212" s="5" t="s">
        <v>215</v>
      </c>
      <c r="C212" s="5" t="s">
        <v>718</v>
      </c>
      <c r="D212" s="28" t="str">
        <f>VLOOKUP(Payroll_Data_Analysis[[#This Row],[Position]],Position_Map!$A$2:$B$58,2,FALSE)</f>
        <v>Technical</v>
      </c>
      <c r="E212" s="6">
        <v>1</v>
      </c>
      <c r="F212" s="7">
        <v>74000</v>
      </c>
      <c r="G212" s="7">
        <v>50000</v>
      </c>
      <c r="H212" s="7"/>
      <c r="I212" s="7">
        <f>dataset!$F212-dataset!$J212-dataset!$G212-dataset!$H212</f>
        <v>20000</v>
      </c>
      <c r="J212" s="7">
        <f>dataset!$G212*0.08</f>
        <v>4000</v>
      </c>
      <c r="K212" s="7">
        <f>dataset!$F212*12</f>
        <v>888000</v>
      </c>
      <c r="L212" s="12">
        <f>IF(dataset!$G212&gt;=200000,38%,IF(dataset!$G212&lt;=145000,12.3%,))</f>
        <v>0.12300000000000001</v>
      </c>
      <c r="M212" s="7">
        <f>dataset!$G212*L213*12</f>
        <v>73800.000000000015</v>
      </c>
      <c r="N212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2" s="7">
        <f>dataset!$K212+dataset!$M212</f>
        <v>961800</v>
      </c>
      <c r="P212" s="7">
        <f>Payroll_Data_Analysis[[#This Row],[Annual Salary + KPI Bonus]]/12/29.3*31</f>
        <v>84800.341296928324</v>
      </c>
      <c r="Q212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2" s="7">
        <f>Payroll_Data_Analysis[[#This Row],[Monthly Salary]]*11</f>
        <v>814000</v>
      </c>
      <c r="S212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2" s="7">
        <f>IF(Payroll_Data_Analysis[[#This Row],[Base Salary (Monthly)]]&gt;=200000,69507,IF(Payroll_Data_Analysis[[#This Row],[Base Salary (Monthly)]]&gt;=145000,52684,35103))</f>
        <v>35103</v>
      </c>
      <c r="U212" s="7">
        <f>Payroll_Data_Analysis[[#This Row],[Annual KPI Bonus Reserve]]+Payroll_Data_Analysis[[#This Row],[Vacation Reserve]]+Payroll_Data_Analysis[[#This Row],[11-Month Salary]]</f>
        <v>972600.34129692835</v>
      </c>
      <c r="V212" s="7">
        <f>Payroll_Data_Analysis[[#This Row],[Payroll Taxes (KPI Bonus)]]+Payroll_Data_Analysis[[#This Row],[Payroll Taxes (Vacation)]]+Payroll_Data_Analysis[[#This Row],[Payroll Taxes (Salary)]]</f>
        <v>293725.30307167233</v>
      </c>
      <c r="W212" s="13">
        <f>Payroll_Data_Analysis[[#This Row],[Total Payroll]]+Payroll_Data_Analysis[[#This Row],[Total Payroll Taxes]]</f>
        <v>1266325.6443686006</v>
      </c>
    </row>
    <row r="213" spans="1:23">
      <c r="A213" s="11" t="s">
        <v>654</v>
      </c>
      <c r="B213" s="5" t="s">
        <v>216</v>
      </c>
      <c r="C213" s="5" t="s">
        <v>708</v>
      </c>
      <c r="D213" s="28" t="str">
        <f>VLOOKUP(Payroll_Data_Analysis[[#This Row],[Position]],Position_Map!$A$2:$B$58,2,FALSE)</f>
        <v>Professional</v>
      </c>
      <c r="E213" s="6">
        <v>1</v>
      </c>
      <c r="F213" s="7">
        <v>173000</v>
      </c>
      <c r="G213" s="7">
        <v>100000</v>
      </c>
      <c r="H213" s="7"/>
      <c r="I213" s="7">
        <f>dataset!$F213-dataset!$J213-dataset!$G213-dataset!$H213</f>
        <v>65000</v>
      </c>
      <c r="J213" s="7">
        <f>dataset!$G213*0.08</f>
        <v>8000</v>
      </c>
      <c r="K213" s="7">
        <f>dataset!$F213*12</f>
        <v>2076000</v>
      </c>
      <c r="L213" s="12">
        <f>IF(dataset!$G213&gt;=200000,38%,IF(dataset!$G213&lt;=145000,12.3%,))</f>
        <v>0.12300000000000001</v>
      </c>
      <c r="M213" s="7">
        <f>dataset!$G213*L214*12</f>
        <v>147600.00000000003</v>
      </c>
      <c r="N21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13" s="7">
        <f>dataset!$K213+dataset!$M213</f>
        <v>2223600</v>
      </c>
      <c r="P213" s="7">
        <f>Payroll_Data_Analysis[[#This Row],[Annual Salary + KPI Bonus]]/12/29.3*31</f>
        <v>196051.19453924915</v>
      </c>
      <c r="Q213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213" s="7">
        <f>Payroll_Data_Analysis[[#This Row],[Monthly Salary]]*11</f>
        <v>1903000</v>
      </c>
      <c r="S213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213" s="7">
        <f>IF(Payroll_Data_Analysis[[#This Row],[Base Salary (Monthly)]]&gt;=200000,69507,IF(Payroll_Data_Analysis[[#This Row],[Base Salary (Monthly)]]&gt;=145000,52684,35103))</f>
        <v>35103</v>
      </c>
      <c r="U213" s="7">
        <f>Payroll_Data_Analysis[[#This Row],[Annual KPI Bonus Reserve]]+Payroll_Data_Analysis[[#This Row],[Vacation Reserve]]+Payroll_Data_Analysis[[#This Row],[11-Month Salary]]</f>
        <v>2246651.1945392489</v>
      </c>
      <c r="V213" s="7">
        <f>Payroll_Data_Analysis[[#This Row],[Payroll Taxes (KPI Bonus)]]+Payroll_Data_Analysis[[#This Row],[Payroll Taxes (Vacation)]]+Payroll_Data_Analysis[[#This Row],[Payroll Taxes (Salary)]]</f>
        <v>678488.66075085325</v>
      </c>
      <c r="W213" s="13">
        <f>Payroll_Data_Analysis[[#This Row],[Total Payroll]]+Payroll_Data_Analysis[[#This Row],[Total Payroll Taxes]]</f>
        <v>2925139.8552901023</v>
      </c>
    </row>
    <row r="214" spans="1:23">
      <c r="A214" s="11" t="s">
        <v>654</v>
      </c>
      <c r="B214" s="5" t="s">
        <v>217</v>
      </c>
      <c r="C214" s="5" t="s">
        <v>709</v>
      </c>
      <c r="D214" s="28" t="str">
        <f>VLOOKUP(Payroll_Data_Analysis[[#This Row],[Position]],Position_Map!$A$2:$B$58,2,FALSE)</f>
        <v>Engineering</v>
      </c>
      <c r="E214" s="6">
        <v>1</v>
      </c>
      <c r="F214" s="7">
        <v>148000</v>
      </c>
      <c r="G214" s="7">
        <v>50000</v>
      </c>
      <c r="H214" s="7"/>
      <c r="I214" s="7">
        <f>dataset!$F214-dataset!$J214-dataset!$G214-dataset!$H214</f>
        <v>94000</v>
      </c>
      <c r="J214" s="7">
        <f>dataset!$G214*0.08</f>
        <v>4000</v>
      </c>
      <c r="K214" s="7">
        <f>dataset!$F214*12</f>
        <v>1776000</v>
      </c>
      <c r="L214" s="12">
        <f>IF(dataset!$G214&gt;=200000,38%,IF(dataset!$G214&lt;=145000,12.3%,))</f>
        <v>0.12300000000000001</v>
      </c>
      <c r="M214" s="7">
        <f>dataset!$G214*L215*12</f>
        <v>73800.000000000015</v>
      </c>
      <c r="N214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4" s="7">
        <f>dataset!$K214+dataset!$M214</f>
        <v>1849800</v>
      </c>
      <c r="P214" s="7">
        <f>Payroll_Data_Analysis[[#This Row],[Annual Salary + KPI Bonus]]/12/29.3*31</f>
        <v>163093.85665529009</v>
      </c>
      <c r="Q214" s="7">
        <f>IF(Payroll_Data_Analysis[[#This Row],[Vacation Reserve]]&lt;=2979000,Payroll_Data_Analysis[[#This Row],[Vacation Reserve]]*0.302,2979000*0.302+(Payroll_Data_Analysis[[#This Row],[Vacation Reserve]]-2979000)*0.151)</f>
        <v>49254.344709897603</v>
      </c>
      <c r="R214" s="7">
        <f>Payroll_Data_Analysis[[#This Row],[Monthly Salary]]*11</f>
        <v>1628000</v>
      </c>
      <c r="S214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214" s="7">
        <f>IF(Payroll_Data_Analysis[[#This Row],[Base Salary (Monthly)]]&gt;=200000,69507,IF(Payroll_Data_Analysis[[#This Row],[Base Salary (Monthly)]]&gt;=145000,52684,35103))</f>
        <v>35103</v>
      </c>
      <c r="U214" s="7">
        <f>Payroll_Data_Analysis[[#This Row],[Annual KPI Bonus Reserve]]+Payroll_Data_Analysis[[#This Row],[Vacation Reserve]]+Payroll_Data_Analysis[[#This Row],[11-Month Salary]]</f>
        <v>1864893.8566552901</v>
      </c>
      <c r="V214" s="7">
        <f>Payroll_Data_Analysis[[#This Row],[Payroll Taxes (KPI Bonus)]]+Payroll_Data_Analysis[[#This Row],[Payroll Taxes (Vacation)]]+Payroll_Data_Analysis[[#This Row],[Payroll Taxes (Salary)]]</f>
        <v>563197.94470989762</v>
      </c>
      <c r="W214" s="13">
        <f>Payroll_Data_Analysis[[#This Row],[Total Payroll]]+Payroll_Data_Analysis[[#This Row],[Total Payroll Taxes]]</f>
        <v>2428091.8013651879</v>
      </c>
    </row>
    <row r="215" spans="1:23">
      <c r="A215" s="11" t="s">
        <v>654</v>
      </c>
      <c r="B215" s="5" t="s">
        <v>218</v>
      </c>
      <c r="C215" s="5" t="s">
        <v>719</v>
      </c>
      <c r="D215" s="28" t="str">
        <f>VLOOKUP(Payroll_Data_Analysis[[#This Row],[Position]],Position_Map!$A$2:$B$58,2,FALSE)</f>
        <v>Technical</v>
      </c>
      <c r="E215" s="6">
        <v>1</v>
      </c>
      <c r="F215" s="7">
        <v>74000</v>
      </c>
      <c r="G215" s="7">
        <v>50000</v>
      </c>
      <c r="H215" s="7"/>
      <c r="I215" s="7">
        <f>dataset!$F215-dataset!$J215-dataset!$G215-dataset!$H215</f>
        <v>20000</v>
      </c>
      <c r="J215" s="7">
        <f>dataset!$G215*0.08</f>
        <v>4000</v>
      </c>
      <c r="K215" s="7">
        <f>dataset!$F215*12</f>
        <v>888000</v>
      </c>
      <c r="L215" s="12">
        <f>IF(dataset!$G215&gt;=200000,38%,IF(dataset!$G215&lt;=145000,12.3%,))</f>
        <v>0.12300000000000001</v>
      </c>
      <c r="M215" s="7">
        <f>dataset!$G215*L216*12</f>
        <v>73800.000000000015</v>
      </c>
      <c r="N215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5" s="7">
        <f>dataset!$K215+dataset!$M215</f>
        <v>961800</v>
      </c>
      <c r="P215" s="7">
        <f>Payroll_Data_Analysis[[#This Row],[Annual Salary + KPI Bonus]]/12/29.3*31</f>
        <v>84800.341296928324</v>
      </c>
      <c r="Q215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5" s="7">
        <f>Payroll_Data_Analysis[[#This Row],[Monthly Salary]]*11</f>
        <v>814000</v>
      </c>
      <c r="S215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5" s="7">
        <f>IF(Payroll_Data_Analysis[[#This Row],[Base Salary (Monthly)]]&gt;=200000,69507,IF(Payroll_Data_Analysis[[#This Row],[Base Salary (Monthly)]]&gt;=145000,52684,35103))</f>
        <v>35103</v>
      </c>
      <c r="U215" s="7">
        <f>Payroll_Data_Analysis[[#This Row],[Annual KPI Bonus Reserve]]+Payroll_Data_Analysis[[#This Row],[Vacation Reserve]]+Payroll_Data_Analysis[[#This Row],[11-Month Salary]]</f>
        <v>972600.34129692835</v>
      </c>
      <c r="V215" s="7">
        <f>Payroll_Data_Analysis[[#This Row],[Payroll Taxes (KPI Bonus)]]+Payroll_Data_Analysis[[#This Row],[Payroll Taxes (Vacation)]]+Payroll_Data_Analysis[[#This Row],[Payroll Taxes (Salary)]]</f>
        <v>293725.30307167233</v>
      </c>
      <c r="W215" s="13">
        <f>Payroll_Data_Analysis[[#This Row],[Total Payroll]]+Payroll_Data_Analysis[[#This Row],[Total Payroll Taxes]]</f>
        <v>1266325.6443686006</v>
      </c>
    </row>
    <row r="216" spans="1:23">
      <c r="A216" s="11" t="s">
        <v>654</v>
      </c>
      <c r="B216" s="5" t="s">
        <v>219</v>
      </c>
      <c r="C216" s="5" t="s">
        <v>719</v>
      </c>
      <c r="D216" s="28" t="str">
        <f>VLOOKUP(Payroll_Data_Analysis[[#This Row],[Position]],Position_Map!$A$2:$B$58,2,FALSE)</f>
        <v>Technical</v>
      </c>
      <c r="E216" s="6">
        <v>1</v>
      </c>
      <c r="F216" s="7">
        <v>74000</v>
      </c>
      <c r="G216" s="7">
        <v>50000</v>
      </c>
      <c r="H216" s="7"/>
      <c r="I216" s="7">
        <f>dataset!$F216-dataset!$J216-dataset!$G216-dataset!$H216</f>
        <v>20000</v>
      </c>
      <c r="J216" s="7">
        <f>dataset!$G216*0.08</f>
        <v>4000</v>
      </c>
      <c r="K216" s="7">
        <f>dataset!$F216*12</f>
        <v>888000</v>
      </c>
      <c r="L216" s="12">
        <f>IF(dataset!$G216&gt;=200000,38%,IF(dataset!$G216&lt;=145000,12.3%,))</f>
        <v>0.12300000000000001</v>
      </c>
      <c r="M216" s="7">
        <f>dataset!$G216*L217*12</f>
        <v>73800.000000000015</v>
      </c>
      <c r="N216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6" s="7">
        <f>dataset!$K216+dataset!$M216</f>
        <v>961800</v>
      </c>
      <c r="P216" s="7">
        <f>Payroll_Data_Analysis[[#This Row],[Annual Salary + KPI Bonus]]/12/29.3*31</f>
        <v>84800.341296928324</v>
      </c>
      <c r="Q216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6" s="7">
        <f>Payroll_Data_Analysis[[#This Row],[Monthly Salary]]*11</f>
        <v>814000</v>
      </c>
      <c r="S216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6" s="7">
        <f>IF(Payroll_Data_Analysis[[#This Row],[Base Salary (Monthly)]]&gt;=200000,69507,IF(Payroll_Data_Analysis[[#This Row],[Base Salary (Monthly)]]&gt;=145000,52684,35103))</f>
        <v>35103</v>
      </c>
      <c r="U216" s="7">
        <f>Payroll_Data_Analysis[[#This Row],[Annual KPI Bonus Reserve]]+Payroll_Data_Analysis[[#This Row],[Vacation Reserve]]+Payroll_Data_Analysis[[#This Row],[11-Month Salary]]</f>
        <v>972600.34129692835</v>
      </c>
      <c r="V216" s="7">
        <f>Payroll_Data_Analysis[[#This Row],[Payroll Taxes (KPI Bonus)]]+Payroll_Data_Analysis[[#This Row],[Payroll Taxes (Vacation)]]+Payroll_Data_Analysis[[#This Row],[Payroll Taxes (Salary)]]</f>
        <v>293725.30307167233</v>
      </c>
      <c r="W216" s="13">
        <f>Payroll_Data_Analysis[[#This Row],[Total Payroll]]+Payroll_Data_Analysis[[#This Row],[Total Payroll Taxes]]</f>
        <v>1266325.6443686006</v>
      </c>
    </row>
    <row r="217" spans="1:23">
      <c r="A217" s="11" t="s">
        <v>654</v>
      </c>
      <c r="B217" s="5" t="s">
        <v>220</v>
      </c>
      <c r="C217" s="5" t="s">
        <v>719</v>
      </c>
      <c r="D217" s="28" t="str">
        <f>VLOOKUP(Payroll_Data_Analysis[[#This Row],[Position]],Position_Map!$A$2:$B$58,2,FALSE)</f>
        <v>Technical</v>
      </c>
      <c r="E217" s="6">
        <v>1</v>
      </c>
      <c r="F217" s="7">
        <v>74000</v>
      </c>
      <c r="G217" s="7">
        <v>50000</v>
      </c>
      <c r="H217" s="7"/>
      <c r="I217" s="7">
        <f>dataset!$F217-dataset!$J217-dataset!$G217-dataset!$H217</f>
        <v>20000</v>
      </c>
      <c r="J217" s="7">
        <f>dataset!$G217*0.08</f>
        <v>4000</v>
      </c>
      <c r="K217" s="7">
        <f>dataset!$F217*12</f>
        <v>888000</v>
      </c>
      <c r="L217" s="12">
        <f>IF(dataset!$G217&gt;=200000,38%,IF(dataset!$G217&lt;=145000,12.3%,))</f>
        <v>0.12300000000000001</v>
      </c>
      <c r="M217" s="7">
        <f>dataset!$G217*L218*12</f>
        <v>73800.000000000015</v>
      </c>
      <c r="N217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7" s="7">
        <f>dataset!$K217+dataset!$M217</f>
        <v>961800</v>
      </c>
      <c r="P217" s="7">
        <f>Payroll_Data_Analysis[[#This Row],[Annual Salary + KPI Bonus]]/12/29.3*31</f>
        <v>84800.341296928324</v>
      </c>
      <c r="Q217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7" s="7">
        <f>Payroll_Data_Analysis[[#This Row],[Monthly Salary]]*11</f>
        <v>814000</v>
      </c>
      <c r="S217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7" s="7">
        <f>IF(Payroll_Data_Analysis[[#This Row],[Base Salary (Monthly)]]&gt;=200000,69507,IF(Payroll_Data_Analysis[[#This Row],[Base Salary (Monthly)]]&gt;=145000,52684,35103))</f>
        <v>35103</v>
      </c>
      <c r="U217" s="7">
        <f>Payroll_Data_Analysis[[#This Row],[Annual KPI Bonus Reserve]]+Payroll_Data_Analysis[[#This Row],[Vacation Reserve]]+Payroll_Data_Analysis[[#This Row],[11-Month Salary]]</f>
        <v>972600.34129692835</v>
      </c>
      <c r="V217" s="7">
        <f>Payroll_Data_Analysis[[#This Row],[Payroll Taxes (KPI Bonus)]]+Payroll_Data_Analysis[[#This Row],[Payroll Taxes (Vacation)]]+Payroll_Data_Analysis[[#This Row],[Payroll Taxes (Salary)]]</f>
        <v>293725.30307167233</v>
      </c>
      <c r="W217" s="13">
        <f>Payroll_Data_Analysis[[#This Row],[Total Payroll]]+Payroll_Data_Analysis[[#This Row],[Total Payroll Taxes]]</f>
        <v>1266325.6443686006</v>
      </c>
    </row>
    <row r="218" spans="1:23">
      <c r="A218" s="11" t="s">
        <v>654</v>
      </c>
      <c r="B218" s="5" t="s">
        <v>221</v>
      </c>
      <c r="C218" s="5" t="s">
        <v>719</v>
      </c>
      <c r="D218" s="28" t="str">
        <f>VLOOKUP(Payroll_Data_Analysis[[#This Row],[Position]],Position_Map!$A$2:$B$58,2,FALSE)</f>
        <v>Technical</v>
      </c>
      <c r="E218" s="6">
        <v>1</v>
      </c>
      <c r="F218" s="7">
        <v>74000</v>
      </c>
      <c r="G218" s="7">
        <v>50000</v>
      </c>
      <c r="H218" s="7"/>
      <c r="I218" s="7">
        <f>dataset!$F218-dataset!$J218-dataset!$G218-dataset!$H218</f>
        <v>20000</v>
      </c>
      <c r="J218" s="7">
        <f>dataset!$G218*0.08</f>
        <v>4000</v>
      </c>
      <c r="K218" s="7">
        <f>dataset!$F218*12</f>
        <v>888000</v>
      </c>
      <c r="L218" s="12">
        <f>IF(dataset!$G218&gt;=200000,38%,IF(dataset!$G218&lt;=145000,12.3%,))</f>
        <v>0.12300000000000001</v>
      </c>
      <c r="M218" s="7">
        <f>dataset!$G218*L219*12</f>
        <v>73800.000000000015</v>
      </c>
      <c r="N218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8" s="7">
        <f>dataset!$K218+dataset!$M218</f>
        <v>961800</v>
      </c>
      <c r="P218" s="7">
        <f>Payroll_Data_Analysis[[#This Row],[Annual Salary + KPI Bonus]]/12/29.3*31</f>
        <v>84800.341296928324</v>
      </c>
      <c r="Q218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8" s="7">
        <f>Payroll_Data_Analysis[[#This Row],[Monthly Salary]]*11</f>
        <v>814000</v>
      </c>
      <c r="S218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8" s="7">
        <f>IF(Payroll_Data_Analysis[[#This Row],[Base Salary (Monthly)]]&gt;=200000,69507,IF(Payroll_Data_Analysis[[#This Row],[Base Salary (Monthly)]]&gt;=145000,52684,35103))</f>
        <v>35103</v>
      </c>
      <c r="U218" s="7">
        <f>Payroll_Data_Analysis[[#This Row],[Annual KPI Bonus Reserve]]+Payroll_Data_Analysis[[#This Row],[Vacation Reserve]]+Payroll_Data_Analysis[[#This Row],[11-Month Salary]]</f>
        <v>972600.34129692835</v>
      </c>
      <c r="V218" s="7">
        <f>Payroll_Data_Analysis[[#This Row],[Payroll Taxes (KPI Bonus)]]+Payroll_Data_Analysis[[#This Row],[Payroll Taxes (Vacation)]]+Payroll_Data_Analysis[[#This Row],[Payroll Taxes (Salary)]]</f>
        <v>293725.30307167233</v>
      </c>
      <c r="W218" s="13">
        <f>Payroll_Data_Analysis[[#This Row],[Total Payroll]]+Payroll_Data_Analysis[[#This Row],[Total Payroll Taxes]]</f>
        <v>1266325.6443686006</v>
      </c>
    </row>
    <row r="219" spans="1:23">
      <c r="A219" s="11" t="s">
        <v>654</v>
      </c>
      <c r="B219" s="5" t="s">
        <v>222</v>
      </c>
      <c r="C219" s="5" t="s">
        <v>719</v>
      </c>
      <c r="D219" s="28" t="str">
        <f>VLOOKUP(Payroll_Data_Analysis[[#This Row],[Position]],Position_Map!$A$2:$B$58,2,FALSE)</f>
        <v>Technical</v>
      </c>
      <c r="E219" s="6">
        <v>1</v>
      </c>
      <c r="F219" s="7">
        <v>74000</v>
      </c>
      <c r="G219" s="7">
        <v>50000</v>
      </c>
      <c r="H219" s="7"/>
      <c r="I219" s="7">
        <f>dataset!$F219-dataset!$J219-dataset!$G219-dataset!$H219</f>
        <v>20000</v>
      </c>
      <c r="J219" s="7">
        <f>dataset!$G219*0.08</f>
        <v>4000</v>
      </c>
      <c r="K219" s="7">
        <f>dataset!$F219*12</f>
        <v>888000</v>
      </c>
      <c r="L219" s="12">
        <f>IF(dataset!$G219&gt;=200000,38%,IF(dataset!$G219&lt;=145000,12.3%,))</f>
        <v>0.12300000000000001</v>
      </c>
      <c r="M219" s="7">
        <f>dataset!$G219*L220*12</f>
        <v>73800.000000000015</v>
      </c>
      <c r="N219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19" s="7">
        <f>dataset!$K219+dataset!$M219</f>
        <v>961800</v>
      </c>
      <c r="P219" s="7">
        <f>Payroll_Data_Analysis[[#This Row],[Annual Salary + KPI Bonus]]/12/29.3*31</f>
        <v>84800.341296928324</v>
      </c>
      <c r="Q219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19" s="7">
        <f>Payroll_Data_Analysis[[#This Row],[Monthly Salary]]*11</f>
        <v>814000</v>
      </c>
      <c r="S219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19" s="7">
        <f>IF(Payroll_Data_Analysis[[#This Row],[Base Salary (Monthly)]]&gt;=200000,69507,IF(Payroll_Data_Analysis[[#This Row],[Base Salary (Monthly)]]&gt;=145000,52684,35103))</f>
        <v>35103</v>
      </c>
      <c r="U219" s="7">
        <f>Payroll_Data_Analysis[[#This Row],[Annual KPI Bonus Reserve]]+Payroll_Data_Analysis[[#This Row],[Vacation Reserve]]+Payroll_Data_Analysis[[#This Row],[11-Month Salary]]</f>
        <v>972600.34129692835</v>
      </c>
      <c r="V219" s="7">
        <f>Payroll_Data_Analysis[[#This Row],[Payroll Taxes (KPI Bonus)]]+Payroll_Data_Analysis[[#This Row],[Payroll Taxes (Vacation)]]+Payroll_Data_Analysis[[#This Row],[Payroll Taxes (Salary)]]</f>
        <v>293725.30307167233</v>
      </c>
      <c r="W219" s="13">
        <f>Payroll_Data_Analysis[[#This Row],[Total Payroll]]+Payroll_Data_Analysis[[#This Row],[Total Payroll Taxes]]</f>
        <v>1266325.6443686006</v>
      </c>
    </row>
    <row r="220" spans="1:23">
      <c r="A220" s="11" t="s">
        <v>654</v>
      </c>
      <c r="B220" s="5" t="s">
        <v>223</v>
      </c>
      <c r="C220" s="5" t="s">
        <v>719</v>
      </c>
      <c r="D220" s="28" t="str">
        <f>VLOOKUP(Payroll_Data_Analysis[[#This Row],[Position]],Position_Map!$A$2:$B$58,2,FALSE)</f>
        <v>Technical</v>
      </c>
      <c r="E220" s="6">
        <v>1</v>
      </c>
      <c r="F220" s="7">
        <v>74000</v>
      </c>
      <c r="G220" s="7">
        <v>50000</v>
      </c>
      <c r="H220" s="7"/>
      <c r="I220" s="7">
        <f>dataset!$F220-dataset!$J220-dataset!$G220-dataset!$H220</f>
        <v>20000</v>
      </c>
      <c r="J220" s="7">
        <f>dataset!$G220*0.08</f>
        <v>4000</v>
      </c>
      <c r="K220" s="7">
        <f>dataset!$F220*12</f>
        <v>888000</v>
      </c>
      <c r="L220" s="12">
        <f>IF(dataset!$G220&gt;=200000,38%,IF(dataset!$G220&lt;=145000,12.3%,))</f>
        <v>0.12300000000000001</v>
      </c>
      <c r="M220" s="7">
        <f>dataset!$G220*L221*12</f>
        <v>73800.000000000015</v>
      </c>
      <c r="N220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20" s="7">
        <f>dataset!$K220+dataset!$M220</f>
        <v>961800</v>
      </c>
      <c r="P220" s="7">
        <f>Payroll_Data_Analysis[[#This Row],[Annual Salary + KPI Bonus]]/12/29.3*31</f>
        <v>84800.341296928324</v>
      </c>
      <c r="Q220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20" s="7">
        <f>Payroll_Data_Analysis[[#This Row],[Monthly Salary]]*11</f>
        <v>814000</v>
      </c>
      <c r="S220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20" s="7">
        <f>IF(Payroll_Data_Analysis[[#This Row],[Base Salary (Monthly)]]&gt;=200000,69507,IF(Payroll_Data_Analysis[[#This Row],[Base Salary (Monthly)]]&gt;=145000,52684,35103))</f>
        <v>35103</v>
      </c>
      <c r="U220" s="7">
        <f>Payroll_Data_Analysis[[#This Row],[Annual KPI Bonus Reserve]]+Payroll_Data_Analysis[[#This Row],[Vacation Reserve]]+Payroll_Data_Analysis[[#This Row],[11-Month Salary]]</f>
        <v>972600.34129692835</v>
      </c>
      <c r="V220" s="7">
        <f>Payroll_Data_Analysis[[#This Row],[Payroll Taxes (KPI Bonus)]]+Payroll_Data_Analysis[[#This Row],[Payroll Taxes (Vacation)]]+Payroll_Data_Analysis[[#This Row],[Payroll Taxes (Salary)]]</f>
        <v>293725.30307167233</v>
      </c>
      <c r="W220" s="13">
        <f>Payroll_Data_Analysis[[#This Row],[Total Payroll]]+Payroll_Data_Analysis[[#This Row],[Total Payroll Taxes]]</f>
        <v>1266325.6443686006</v>
      </c>
    </row>
    <row r="221" spans="1:23">
      <c r="A221" s="11" t="s">
        <v>654</v>
      </c>
      <c r="B221" s="5" t="s">
        <v>224</v>
      </c>
      <c r="C221" s="5" t="s">
        <v>719</v>
      </c>
      <c r="D221" s="28" t="str">
        <f>VLOOKUP(Payroll_Data_Analysis[[#This Row],[Position]],Position_Map!$A$2:$B$58,2,FALSE)</f>
        <v>Technical</v>
      </c>
      <c r="E221" s="6">
        <v>1</v>
      </c>
      <c r="F221" s="7">
        <v>74000</v>
      </c>
      <c r="G221" s="7">
        <v>50000</v>
      </c>
      <c r="H221" s="7"/>
      <c r="I221" s="7">
        <f>dataset!$F221-dataset!$J221-dataset!$G221-dataset!$H221</f>
        <v>20000</v>
      </c>
      <c r="J221" s="7">
        <f>dataset!$G221*0.08</f>
        <v>4000</v>
      </c>
      <c r="K221" s="7">
        <f>dataset!$F221*12</f>
        <v>888000</v>
      </c>
      <c r="L221" s="12">
        <f>IF(dataset!$G221&gt;=200000,38%,IF(dataset!$G221&lt;=145000,12.3%,))</f>
        <v>0.12300000000000001</v>
      </c>
      <c r="M221" s="7">
        <f>dataset!$G221*L222*12</f>
        <v>73800.000000000015</v>
      </c>
      <c r="N221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21" s="7">
        <f>dataset!$K221+dataset!$M221</f>
        <v>961800</v>
      </c>
      <c r="P221" s="7">
        <f>Payroll_Data_Analysis[[#This Row],[Annual Salary + KPI Bonus]]/12/29.3*31</f>
        <v>84800.341296928324</v>
      </c>
      <c r="Q221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21" s="7">
        <f>Payroll_Data_Analysis[[#This Row],[Monthly Salary]]*11</f>
        <v>814000</v>
      </c>
      <c r="S221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21" s="7">
        <f>IF(Payroll_Data_Analysis[[#This Row],[Base Salary (Monthly)]]&gt;=200000,69507,IF(Payroll_Data_Analysis[[#This Row],[Base Salary (Monthly)]]&gt;=145000,52684,35103))</f>
        <v>35103</v>
      </c>
      <c r="U221" s="7">
        <f>Payroll_Data_Analysis[[#This Row],[Annual KPI Bonus Reserve]]+Payroll_Data_Analysis[[#This Row],[Vacation Reserve]]+Payroll_Data_Analysis[[#This Row],[11-Month Salary]]</f>
        <v>972600.34129692835</v>
      </c>
      <c r="V221" s="7">
        <f>Payroll_Data_Analysis[[#This Row],[Payroll Taxes (KPI Bonus)]]+Payroll_Data_Analysis[[#This Row],[Payroll Taxes (Vacation)]]+Payroll_Data_Analysis[[#This Row],[Payroll Taxes (Salary)]]</f>
        <v>293725.30307167233</v>
      </c>
      <c r="W221" s="13">
        <f>Payroll_Data_Analysis[[#This Row],[Total Payroll]]+Payroll_Data_Analysis[[#This Row],[Total Payroll Taxes]]</f>
        <v>1266325.6443686006</v>
      </c>
    </row>
    <row r="222" spans="1:23">
      <c r="A222" s="11" t="s">
        <v>654</v>
      </c>
      <c r="B222" s="5" t="s">
        <v>225</v>
      </c>
      <c r="C222" s="5" t="s">
        <v>719</v>
      </c>
      <c r="D222" s="28" t="str">
        <f>VLOOKUP(Payroll_Data_Analysis[[#This Row],[Position]],Position_Map!$A$2:$B$58,2,FALSE)</f>
        <v>Technical</v>
      </c>
      <c r="E222" s="6">
        <v>1</v>
      </c>
      <c r="F222" s="7">
        <v>74000</v>
      </c>
      <c r="G222" s="7">
        <v>50000</v>
      </c>
      <c r="H222" s="7"/>
      <c r="I222" s="7">
        <f>dataset!$F222-dataset!$J222-dataset!$G222-dataset!$H222</f>
        <v>20000</v>
      </c>
      <c r="J222" s="7">
        <f>dataset!$G222*0.08</f>
        <v>4000</v>
      </c>
      <c r="K222" s="7">
        <f>dataset!$F222*12</f>
        <v>888000</v>
      </c>
      <c r="L222" s="12">
        <f>IF(dataset!$G222&gt;=200000,38%,IF(dataset!$G222&lt;=145000,12.3%,))</f>
        <v>0.12300000000000001</v>
      </c>
      <c r="M222" s="7">
        <f>dataset!$G222*L223*12</f>
        <v>73800.000000000015</v>
      </c>
      <c r="N222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22" s="7">
        <f>dataset!$K222+dataset!$M222</f>
        <v>961800</v>
      </c>
      <c r="P222" s="7">
        <f>Payroll_Data_Analysis[[#This Row],[Annual Salary + KPI Bonus]]/12/29.3*31</f>
        <v>84800.341296928324</v>
      </c>
      <c r="Q222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22" s="7">
        <f>Payroll_Data_Analysis[[#This Row],[Monthly Salary]]*11</f>
        <v>814000</v>
      </c>
      <c r="S222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22" s="7">
        <f>IF(Payroll_Data_Analysis[[#This Row],[Base Salary (Monthly)]]&gt;=200000,69507,IF(Payroll_Data_Analysis[[#This Row],[Base Salary (Monthly)]]&gt;=145000,52684,35103))</f>
        <v>35103</v>
      </c>
      <c r="U222" s="7">
        <f>Payroll_Data_Analysis[[#This Row],[Annual KPI Bonus Reserve]]+Payroll_Data_Analysis[[#This Row],[Vacation Reserve]]+Payroll_Data_Analysis[[#This Row],[11-Month Salary]]</f>
        <v>972600.34129692835</v>
      </c>
      <c r="V222" s="7">
        <f>Payroll_Data_Analysis[[#This Row],[Payroll Taxes (KPI Bonus)]]+Payroll_Data_Analysis[[#This Row],[Payroll Taxes (Vacation)]]+Payroll_Data_Analysis[[#This Row],[Payroll Taxes (Salary)]]</f>
        <v>293725.30307167233</v>
      </c>
      <c r="W222" s="13">
        <f>Payroll_Data_Analysis[[#This Row],[Total Payroll]]+Payroll_Data_Analysis[[#This Row],[Total Payroll Taxes]]</f>
        <v>1266325.6443686006</v>
      </c>
    </row>
    <row r="223" spans="1:23">
      <c r="A223" s="11" t="s">
        <v>654</v>
      </c>
      <c r="B223" s="5" t="s">
        <v>226</v>
      </c>
      <c r="C223" s="5" t="s">
        <v>708</v>
      </c>
      <c r="D223" s="28" t="str">
        <f>VLOOKUP(Payroll_Data_Analysis[[#This Row],[Position]],Position_Map!$A$2:$B$58,2,FALSE)</f>
        <v>Professional</v>
      </c>
      <c r="E223" s="6">
        <v>1</v>
      </c>
      <c r="F223" s="7">
        <v>186600</v>
      </c>
      <c r="G223" s="7">
        <v>145000</v>
      </c>
      <c r="H223" s="7"/>
      <c r="I223" s="7">
        <f>dataset!$F223-dataset!$J223-dataset!$G223-dataset!$H223</f>
        <v>30000</v>
      </c>
      <c r="J223" s="7">
        <f>dataset!$G223*0.08</f>
        <v>11600</v>
      </c>
      <c r="K223" s="7">
        <f>dataset!$F223*12</f>
        <v>2239200</v>
      </c>
      <c r="L223" s="12">
        <f>IF(dataset!$G223&gt;=200000,38%,IF(dataset!$G223&lt;=145000,12.3%,))</f>
        <v>0.12300000000000001</v>
      </c>
      <c r="M223" s="7">
        <f>dataset!$G223*L224*12</f>
        <v>214020</v>
      </c>
      <c r="N22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23" s="7">
        <f>dataset!$K223+dataset!$M223</f>
        <v>2453220</v>
      </c>
      <c r="P223" s="7">
        <f>Payroll_Data_Analysis[[#This Row],[Annual Salary + KPI Bonus]]/12/29.3*31</f>
        <v>216296.41638225256</v>
      </c>
      <c r="Q223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23" s="7">
        <f>Payroll_Data_Analysis[[#This Row],[Monthly Salary]]*11</f>
        <v>2052600</v>
      </c>
      <c r="S223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23" s="7">
        <f>IF(Payroll_Data_Analysis[[#This Row],[Base Salary (Monthly)]]&gt;=200000,69507,IF(Payroll_Data_Analysis[[#This Row],[Base Salary (Monthly)]]&gt;=145000,52684,35103))</f>
        <v>52684</v>
      </c>
      <c r="U223" s="7">
        <f>Payroll_Data_Analysis[[#This Row],[Annual KPI Bonus Reserve]]+Payroll_Data_Analysis[[#This Row],[Vacation Reserve]]+Payroll_Data_Analysis[[#This Row],[11-Month Salary]]</f>
        <v>2482916.4163822527</v>
      </c>
      <c r="V223" s="7">
        <f>Payroll_Data_Analysis[[#This Row],[Payroll Taxes (KPI Bonus)]]+Payroll_Data_Analysis[[#This Row],[Payroll Taxes (Vacation)]]+Payroll_Data_Analysis[[#This Row],[Payroll Taxes (Salary)]]</f>
        <v>749840.75774744025</v>
      </c>
      <c r="W223" s="13">
        <f>Payroll_Data_Analysis[[#This Row],[Total Payroll]]+Payroll_Data_Analysis[[#This Row],[Total Payroll Taxes]]</f>
        <v>3232757.1741296928</v>
      </c>
    </row>
    <row r="224" spans="1:23">
      <c r="A224" s="11" t="s">
        <v>654</v>
      </c>
      <c r="B224" s="5" t="s">
        <v>227</v>
      </c>
      <c r="C224" s="5" t="s">
        <v>709</v>
      </c>
      <c r="D224" s="28" t="str">
        <f>VLOOKUP(Payroll_Data_Analysis[[#This Row],[Position]],Position_Map!$A$2:$B$58,2,FALSE)</f>
        <v>Engineering</v>
      </c>
      <c r="E224" s="6">
        <v>1</v>
      </c>
      <c r="F224" s="7">
        <v>148000</v>
      </c>
      <c r="G224" s="7">
        <v>100000</v>
      </c>
      <c r="H224" s="7"/>
      <c r="I224" s="7">
        <f>dataset!$F224-dataset!$J224-dataset!$G224-dataset!$H224</f>
        <v>40000</v>
      </c>
      <c r="J224" s="7">
        <f>dataset!$G224*0.08</f>
        <v>8000</v>
      </c>
      <c r="K224" s="7">
        <f>dataset!$F224*12</f>
        <v>1776000</v>
      </c>
      <c r="L224" s="12">
        <f>IF(dataset!$G224&gt;=200000,38%,IF(dataset!$G224&lt;=145000,12.3%,))</f>
        <v>0.12300000000000001</v>
      </c>
      <c r="M224" s="7">
        <f>dataset!$G224*L225*12</f>
        <v>147600.00000000003</v>
      </c>
      <c r="N22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24" s="7">
        <f>dataset!$K224+dataset!$M224</f>
        <v>1923600</v>
      </c>
      <c r="P224" s="7">
        <f>Payroll_Data_Analysis[[#This Row],[Annual Salary + KPI Bonus]]/12/29.3*31</f>
        <v>169600.68259385665</v>
      </c>
      <c r="Q224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224" s="7">
        <f>Payroll_Data_Analysis[[#This Row],[Monthly Salary]]*11</f>
        <v>1628000</v>
      </c>
      <c r="S224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224" s="7">
        <f>IF(Payroll_Data_Analysis[[#This Row],[Base Salary (Monthly)]]&gt;=200000,69507,IF(Payroll_Data_Analysis[[#This Row],[Base Salary (Monthly)]]&gt;=145000,52684,35103))</f>
        <v>35103</v>
      </c>
      <c r="U224" s="7">
        <f>Payroll_Data_Analysis[[#This Row],[Annual KPI Bonus Reserve]]+Payroll_Data_Analysis[[#This Row],[Vacation Reserve]]+Payroll_Data_Analysis[[#This Row],[11-Month Salary]]</f>
        <v>1945200.6825938567</v>
      </c>
      <c r="V224" s="7">
        <f>Payroll_Data_Analysis[[#This Row],[Payroll Taxes (KPI Bonus)]]+Payroll_Data_Analysis[[#This Row],[Payroll Taxes (Vacation)]]+Payroll_Data_Analysis[[#This Row],[Payroll Taxes (Salary)]]</f>
        <v>587450.60614334466</v>
      </c>
      <c r="W224" s="13">
        <f>Payroll_Data_Analysis[[#This Row],[Total Payroll]]+Payroll_Data_Analysis[[#This Row],[Total Payroll Taxes]]</f>
        <v>2532651.2887372011</v>
      </c>
    </row>
    <row r="225" spans="1:23">
      <c r="A225" s="11" t="s">
        <v>654</v>
      </c>
      <c r="B225" s="5" t="s">
        <v>228</v>
      </c>
      <c r="C225" s="5" t="s">
        <v>711</v>
      </c>
      <c r="D225" s="28" t="str">
        <f>VLOOKUP(Payroll_Data_Analysis[[#This Row],[Position]],Position_Map!$A$2:$B$58,2,FALSE)</f>
        <v>Technical</v>
      </c>
      <c r="E225" s="6">
        <v>1</v>
      </c>
      <c r="F225" s="7">
        <v>74000</v>
      </c>
      <c r="G225" s="7">
        <v>50000</v>
      </c>
      <c r="H225" s="7"/>
      <c r="I225" s="7">
        <f>dataset!$F225-dataset!$J225-dataset!$G225-dataset!$H225</f>
        <v>20000</v>
      </c>
      <c r="J225" s="7">
        <f>dataset!$G225*0.08</f>
        <v>4000</v>
      </c>
      <c r="K225" s="7">
        <f>dataset!$F225*12</f>
        <v>888000</v>
      </c>
      <c r="L225" s="12">
        <f>IF(dataset!$G225&gt;=200000,38%,IF(dataset!$G225&lt;=145000,12.3%,))</f>
        <v>0.12300000000000001</v>
      </c>
      <c r="M225" s="7">
        <f>dataset!$G225*L226*12</f>
        <v>73800.000000000015</v>
      </c>
      <c r="N225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225" s="7">
        <f>dataset!$K225+dataset!$M225</f>
        <v>961800</v>
      </c>
      <c r="P225" s="7">
        <f>Payroll_Data_Analysis[[#This Row],[Annual Salary + KPI Bonus]]/12/29.3*31</f>
        <v>84800.341296928324</v>
      </c>
      <c r="Q225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225" s="7">
        <f>Payroll_Data_Analysis[[#This Row],[Monthly Salary]]*11</f>
        <v>814000</v>
      </c>
      <c r="S225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225" s="7">
        <f>IF(Payroll_Data_Analysis[[#This Row],[Base Salary (Monthly)]]&gt;=200000,69507,IF(Payroll_Data_Analysis[[#This Row],[Base Salary (Monthly)]]&gt;=145000,52684,35103))</f>
        <v>35103</v>
      </c>
      <c r="U225" s="7">
        <f>Payroll_Data_Analysis[[#This Row],[Annual KPI Bonus Reserve]]+Payroll_Data_Analysis[[#This Row],[Vacation Reserve]]+Payroll_Data_Analysis[[#This Row],[11-Month Salary]]</f>
        <v>972600.34129692835</v>
      </c>
      <c r="V225" s="7">
        <f>Payroll_Data_Analysis[[#This Row],[Payroll Taxes (KPI Bonus)]]+Payroll_Data_Analysis[[#This Row],[Payroll Taxes (Vacation)]]+Payroll_Data_Analysis[[#This Row],[Payroll Taxes (Salary)]]</f>
        <v>293725.30307167233</v>
      </c>
      <c r="W225" s="13">
        <f>Payroll_Data_Analysis[[#This Row],[Total Payroll]]+Payroll_Data_Analysis[[#This Row],[Total Payroll Taxes]]</f>
        <v>1266325.6443686006</v>
      </c>
    </row>
    <row r="226" spans="1:23">
      <c r="A226" s="11" t="s">
        <v>655</v>
      </c>
      <c r="B226" s="5" t="s">
        <v>229</v>
      </c>
      <c r="C226" s="5" t="s">
        <v>713</v>
      </c>
      <c r="D226" s="28" t="str">
        <f>VLOOKUP(Payroll_Data_Analysis[[#This Row],[Position]],Position_Map!$A$2:$B$58,2,FALSE)</f>
        <v>Management</v>
      </c>
      <c r="E226" s="6">
        <v>1</v>
      </c>
      <c r="F226" s="7">
        <v>286100</v>
      </c>
      <c r="G226" s="7">
        <v>145000</v>
      </c>
      <c r="H226" s="7">
        <v>14500</v>
      </c>
      <c r="I226" s="7">
        <f>dataset!$F226-dataset!$J226-dataset!$G226-dataset!$H226</f>
        <v>115000</v>
      </c>
      <c r="J226" s="7">
        <f>dataset!$G226*0.08</f>
        <v>11600</v>
      </c>
      <c r="K226" s="7">
        <f>dataset!$F226*12</f>
        <v>3433200</v>
      </c>
      <c r="L226" s="12">
        <f>IF(dataset!$G226&gt;=200000,38%,IF(dataset!$G226&lt;=145000,12.3%,))</f>
        <v>0.12300000000000001</v>
      </c>
      <c r="M226" s="7">
        <f>dataset!$G226*L227*12</f>
        <v>214020</v>
      </c>
      <c r="N22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26" s="7">
        <f>dataset!$K226+dataset!$M226</f>
        <v>3647220</v>
      </c>
      <c r="P226" s="7">
        <f>Payroll_Data_Analysis[[#This Row],[Annual Salary + KPI Bonus]]/12/29.3*31</f>
        <v>321569.45392491465</v>
      </c>
      <c r="Q226" s="7">
        <f>IF(Payroll_Data_Analysis[[#This Row],[Vacation Reserve]]&lt;=2979000,Payroll_Data_Analysis[[#This Row],[Vacation Reserve]]*0.302,2979000*0.302+(Payroll_Data_Analysis[[#This Row],[Vacation Reserve]]-2979000)*0.151)</f>
        <v>97113.975085324215</v>
      </c>
      <c r="R226" s="7">
        <f>Payroll_Data_Analysis[[#This Row],[Monthly Salary]]*11</f>
        <v>3147100</v>
      </c>
      <c r="S226" s="7">
        <f>IF(Payroll_Data_Analysis[[#This Row],[11-Month Salary]]&lt;=2979000,Payroll_Data_Analysis[[#This Row],[11-Month Salary]]*0.302,2979000*0.302+(Payroll_Data_Analysis[[#This Row],[11-Month Salary]]-2979000)*0.151)</f>
        <v>925041.1</v>
      </c>
      <c r="T226" s="7">
        <f>IF(Payroll_Data_Analysis[[#This Row],[Base Salary (Monthly)]]&gt;=200000,69507,IF(Payroll_Data_Analysis[[#This Row],[Base Salary (Monthly)]]&gt;=145000,52684,35103))</f>
        <v>52684</v>
      </c>
      <c r="U226" s="7">
        <f>Payroll_Data_Analysis[[#This Row],[Annual KPI Bonus Reserve]]+Payroll_Data_Analysis[[#This Row],[Vacation Reserve]]+Payroll_Data_Analysis[[#This Row],[11-Month Salary]]</f>
        <v>3682689.4539249148</v>
      </c>
      <c r="V226" s="7">
        <f>Payroll_Data_Analysis[[#This Row],[Payroll Taxes (KPI Bonus)]]+Payroll_Data_Analysis[[#This Row],[Payroll Taxes (Vacation)]]+Payroll_Data_Analysis[[#This Row],[Payroll Taxes (Salary)]]</f>
        <v>1086789.1150853243</v>
      </c>
      <c r="W226" s="13">
        <f>Payroll_Data_Analysis[[#This Row],[Total Payroll]]+Payroll_Data_Analysis[[#This Row],[Total Payroll Taxes]]</f>
        <v>4769478.5690102391</v>
      </c>
    </row>
    <row r="227" spans="1:23">
      <c r="A227" s="11" t="s">
        <v>655</v>
      </c>
      <c r="B227" s="5" t="s">
        <v>230</v>
      </c>
      <c r="C227" s="5" t="s">
        <v>708</v>
      </c>
      <c r="D227" s="28" t="str">
        <f>VLOOKUP(Payroll_Data_Analysis[[#This Row],[Position]],Position_Map!$A$2:$B$58,2,FALSE)</f>
        <v>Professional</v>
      </c>
      <c r="E227" s="6">
        <v>1</v>
      </c>
      <c r="F227" s="7">
        <v>158000</v>
      </c>
      <c r="G227" s="7">
        <v>100000</v>
      </c>
      <c r="H227" s="7"/>
      <c r="I227" s="7">
        <f>dataset!$F227-dataset!$J227-dataset!$G227-dataset!$H227</f>
        <v>50000</v>
      </c>
      <c r="J227" s="7">
        <f>dataset!$G227*0.08</f>
        <v>8000</v>
      </c>
      <c r="K227" s="7">
        <f>dataset!$F227*12</f>
        <v>1896000</v>
      </c>
      <c r="L227" s="12">
        <f>IF(dataset!$G227&gt;=200000,38%,IF(dataset!$G227&lt;=145000,12.3%,))</f>
        <v>0.12300000000000001</v>
      </c>
      <c r="M227" s="7">
        <f>dataset!$G227*L228*12</f>
        <v>147600.00000000003</v>
      </c>
      <c r="N22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27" s="7">
        <f>dataset!$K227+dataset!$M227</f>
        <v>2043600</v>
      </c>
      <c r="P227" s="7">
        <f>Payroll_Data_Analysis[[#This Row],[Annual Salary + KPI Bonus]]/12/29.3*31</f>
        <v>180180.88737201365</v>
      </c>
      <c r="Q227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227" s="7">
        <f>Payroll_Data_Analysis[[#This Row],[Monthly Salary]]*11</f>
        <v>1738000</v>
      </c>
      <c r="S227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227" s="7">
        <f>IF(Payroll_Data_Analysis[[#This Row],[Base Salary (Monthly)]]&gt;=200000,69507,IF(Payroll_Data_Analysis[[#This Row],[Base Salary (Monthly)]]&gt;=145000,52684,35103))</f>
        <v>35103</v>
      </c>
      <c r="U227" s="7">
        <f>Payroll_Data_Analysis[[#This Row],[Annual KPI Bonus Reserve]]+Payroll_Data_Analysis[[#This Row],[Vacation Reserve]]+Payroll_Data_Analysis[[#This Row],[11-Month Salary]]</f>
        <v>2065780.8873720136</v>
      </c>
      <c r="V227" s="7">
        <f>Payroll_Data_Analysis[[#This Row],[Payroll Taxes (KPI Bonus)]]+Payroll_Data_Analysis[[#This Row],[Payroll Taxes (Vacation)]]+Payroll_Data_Analysis[[#This Row],[Payroll Taxes (Salary)]]</f>
        <v>623865.82798634819</v>
      </c>
      <c r="W227" s="13">
        <f>Payroll_Data_Analysis[[#This Row],[Total Payroll]]+Payroll_Data_Analysis[[#This Row],[Total Payroll Taxes]]</f>
        <v>2689646.7153583616</v>
      </c>
    </row>
    <row r="228" spans="1:23">
      <c r="A228" s="11" t="s">
        <v>655</v>
      </c>
      <c r="B228" s="5" t="s">
        <v>231</v>
      </c>
      <c r="C228" s="5" t="s">
        <v>703</v>
      </c>
      <c r="D228" s="28" t="str">
        <f>VLOOKUP(Payroll_Data_Analysis[[#This Row],[Position]],Position_Map!$A$2:$B$58,2,FALSE)</f>
        <v>Management</v>
      </c>
      <c r="E228" s="6">
        <v>1</v>
      </c>
      <c r="F228" s="7">
        <v>231600</v>
      </c>
      <c r="G228" s="7">
        <v>145000</v>
      </c>
      <c r="H228" s="7"/>
      <c r="I228" s="7">
        <f>dataset!$F228-dataset!$J228-dataset!$G228-dataset!$H228</f>
        <v>75000</v>
      </c>
      <c r="J228" s="7">
        <f>dataset!$G228*0.08</f>
        <v>11600</v>
      </c>
      <c r="K228" s="7">
        <f>dataset!$F228*12</f>
        <v>2779200</v>
      </c>
      <c r="L228" s="12">
        <f>IF(dataset!$G228&gt;=200000,38%,IF(dataset!$G228&lt;=145000,12.3%,))</f>
        <v>0.12300000000000001</v>
      </c>
      <c r="M228" s="7">
        <f>dataset!$G228*L229*12</f>
        <v>214020</v>
      </c>
      <c r="N22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28" s="7">
        <f>dataset!$K228+dataset!$M228</f>
        <v>2993220</v>
      </c>
      <c r="P228" s="7">
        <f>Payroll_Data_Analysis[[#This Row],[Annual Salary + KPI Bonus]]/12/29.3*31</f>
        <v>263907.33788395906</v>
      </c>
      <c r="Q228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228" s="7">
        <f>Payroll_Data_Analysis[[#This Row],[Monthly Salary]]*11</f>
        <v>2547600</v>
      </c>
      <c r="S228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228" s="7">
        <f>IF(Payroll_Data_Analysis[[#This Row],[Base Salary (Monthly)]]&gt;=200000,69507,IF(Payroll_Data_Analysis[[#This Row],[Base Salary (Monthly)]]&gt;=145000,52684,35103))</f>
        <v>52684</v>
      </c>
      <c r="U228" s="7">
        <f>Payroll_Data_Analysis[[#This Row],[Annual KPI Bonus Reserve]]+Payroll_Data_Analysis[[#This Row],[Vacation Reserve]]+Payroll_Data_Analysis[[#This Row],[11-Month Salary]]</f>
        <v>3025527.3378839591</v>
      </c>
      <c r="V228" s="7">
        <f>Payroll_Data_Analysis[[#This Row],[Payroll Taxes (KPI Bonus)]]+Payroll_Data_Analysis[[#This Row],[Payroll Taxes (Vacation)]]+Payroll_Data_Analysis[[#This Row],[Payroll Taxes (Salary)]]</f>
        <v>913709.25604095554</v>
      </c>
      <c r="W228" s="13">
        <f>Payroll_Data_Analysis[[#This Row],[Total Payroll]]+Payroll_Data_Analysis[[#This Row],[Total Payroll Taxes]]</f>
        <v>3939236.5939249145</v>
      </c>
    </row>
    <row r="229" spans="1:23">
      <c r="A229" s="11" t="s">
        <v>655</v>
      </c>
      <c r="B229" s="5" t="s">
        <v>232</v>
      </c>
      <c r="C229" s="5" t="s">
        <v>704</v>
      </c>
      <c r="D229" s="28" t="str">
        <f>VLOOKUP(Payroll_Data_Analysis[[#This Row],[Position]],Position_Map!$A$2:$B$58,2,FALSE)</f>
        <v>Management</v>
      </c>
      <c r="E229" s="6">
        <v>1</v>
      </c>
      <c r="F229" s="7">
        <v>211600</v>
      </c>
      <c r="G229" s="7">
        <v>145000</v>
      </c>
      <c r="H229" s="7"/>
      <c r="I229" s="7">
        <f>dataset!$F229-dataset!$J229-dataset!$G229-dataset!$H229</f>
        <v>55000</v>
      </c>
      <c r="J229" s="7">
        <f>dataset!$G229*0.08</f>
        <v>11600</v>
      </c>
      <c r="K229" s="7">
        <f>dataset!$F229*12</f>
        <v>2539200</v>
      </c>
      <c r="L229" s="12">
        <f>IF(dataset!$G229&gt;=200000,38%,IF(dataset!$G229&lt;=145000,12.3%,))</f>
        <v>0.12300000000000001</v>
      </c>
      <c r="M229" s="7">
        <f>dataset!$G229*L230*12</f>
        <v>214020</v>
      </c>
      <c r="N22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29" s="7">
        <f>dataset!$K229+dataset!$M229</f>
        <v>2753220</v>
      </c>
      <c r="P229" s="7">
        <f>Payroll_Data_Analysis[[#This Row],[Annual Salary + KPI Bonus]]/12/29.3*31</f>
        <v>242746.92832764506</v>
      </c>
      <c r="Q229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229" s="7">
        <f>Payroll_Data_Analysis[[#This Row],[Monthly Salary]]*11</f>
        <v>2327600</v>
      </c>
      <c r="S229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29" s="7">
        <f>IF(Payroll_Data_Analysis[[#This Row],[Base Salary (Monthly)]]&gt;=200000,69507,IF(Payroll_Data_Analysis[[#This Row],[Base Salary (Monthly)]]&gt;=145000,52684,35103))</f>
        <v>52684</v>
      </c>
      <c r="U229" s="7">
        <f>Payroll_Data_Analysis[[#This Row],[Annual KPI Bonus Reserve]]+Payroll_Data_Analysis[[#This Row],[Vacation Reserve]]+Payroll_Data_Analysis[[#This Row],[11-Month Salary]]</f>
        <v>2784366.9283276452</v>
      </c>
      <c r="V229" s="7">
        <f>Payroll_Data_Analysis[[#This Row],[Payroll Taxes (KPI Bonus)]]+Payroll_Data_Analysis[[#This Row],[Payroll Taxes (Vacation)]]+Payroll_Data_Analysis[[#This Row],[Payroll Taxes (Salary)]]</f>
        <v>840878.81235494872</v>
      </c>
      <c r="W229" s="13">
        <f>Payroll_Data_Analysis[[#This Row],[Total Payroll]]+Payroll_Data_Analysis[[#This Row],[Total Payroll Taxes]]</f>
        <v>3625245.740682594</v>
      </c>
    </row>
    <row r="230" spans="1:23">
      <c r="A230" s="11" t="s">
        <v>655</v>
      </c>
      <c r="B230" s="5" t="s">
        <v>233</v>
      </c>
      <c r="C230" s="5" t="s">
        <v>709</v>
      </c>
      <c r="D230" s="28" t="str">
        <f>VLOOKUP(Payroll_Data_Analysis[[#This Row],[Position]],Position_Map!$A$2:$B$58,2,FALSE)</f>
        <v>Engineering</v>
      </c>
      <c r="E230" s="6">
        <v>1</v>
      </c>
      <c r="F230" s="7">
        <v>136400</v>
      </c>
      <c r="G230" s="7">
        <v>100000</v>
      </c>
      <c r="H230" s="7"/>
      <c r="I230" s="7">
        <f>dataset!$F230-dataset!$J230-dataset!$G230-dataset!$H230</f>
        <v>28400</v>
      </c>
      <c r="J230" s="7">
        <f>dataset!$G230*0.08</f>
        <v>8000</v>
      </c>
      <c r="K230" s="7">
        <f>dataset!$F230*12</f>
        <v>1636800</v>
      </c>
      <c r="L230" s="12">
        <f>IF(dataset!$G230&gt;=200000,38%,IF(dataset!$G230&lt;=145000,12.3%,))</f>
        <v>0.12300000000000001</v>
      </c>
      <c r="M230" s="7">
        <f>dataset!$G230*L231*12</f>
        <v>147600.00000000003</v>
      </c>
      <c r="N23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0" s="7">
        <f>dataset!$K230+dataset!$M230</f>
        <v>1784400</v>
      </c>
      <c r="P230" s="7">
        <f>Payroll_Data_Analysis[[#This Row],[Annual Salary + KPI Bonus]]/12/29.3*31</f>
        <v>157327.64505119453</v>
      </c>
      <c r="Q230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230" s="7">
        <f>Payroll_Data_Analysis[[#This Row],[Monthly Salary]]*11</f>
        <v>1500400</v>
      </c>
      <c r="S230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230" s="7">
        <f>IF(Payroll_Data_Analysis[[#This Row],[Base Salary (Monthly)]]&gt;=200000,69507,IF(Payroll_Data_Analysis[[#This Row],[Base Salary (Monthly)]]&gt;=145000,52684,35103))</f>
        <v>35103</v>
      </c>
      <c r="U230" s="7">
        <f>Payroll_Data_Analysis[[#This Row],[Annual KPI Bonus Reserve]]+Payroll_Data_Analysis[[#This Row],[Vacation Reserve]]+Payroll_Data_Analysis[[#This Row],[11-Month Salary]]</f>
        <v>1805327.6450511946</v>
      </c>
      <c r="V230" s="7">
        <f>Payroll_Data_Analysis[[#This Row],[Payroll Taxes (KPI Bonus)]]+Payroll_Data_Analysis[[#This Row],[Payroll Taxes (Vacation)]]+Payroll_Data_Analysis[[#This Row],[Payroll Taxes (Salary)]]</f>
        <v>545208.94880546071</v>
      </c>
      <c r="W230" s="13">
        <f>Payroll_Data_Analysis[[#This Row],[Total Payroll]]+Payroll_Data_Analysis[[#This Row],[Total Payroll Taxes]]</f>
        <v>2350536.5938566551</v>
      </c>
    </row>
    <row r="231" spans="1:23">
      <c r="A231" s="11" t="s">
        <v>655</v>
      </c>
      <c r="B231" s="5" t="s">
        <v>234</v>
      </c>
      <c r="C231" s="5" t="s">
        <v>709</v>
      </c>
      <c r="D231" s="28" t="str">
        <f>VLOOKUP(Payroll_Data_Analysis[[#This Row],[Position]],Position_Map!$A$2:$B$58,2,FALSE)</f>
        <v>Engineering</v>
      </c>
      <c r="E231" s="6">
        <v>1</v>
      </c>
      <c r="F231" s="7">
        <v>136400</v>
      </c>
      <c r="G231" s="7">
        <v>100000</v>
      </c>
      <c r="H231" s="7"/>
      <c r="I231" s="7">
        <f>dataset!$F231-dataset!$J231-dataset!$G231-dataset!$H231</f>
        <v>28400</v>
      </c>
      <c r="J231" s="7">
        <f>dataset!$G231*0.08</f>
        <v>8000</v>
      </c>
      <c r="K231" s="7">
        <f>dataset!$F231*12</f>
        <v>1636800</v>
      </c>
      <c r="L231" s="12">
        <f>IF(dataset!$G231&gt;=200000,38%,IF(dataset!$G231&lt;=145000,12.3%,))</f>
        <v>0.12300000000000001</v>
      </c>
      <c r="M231" s="7">
        <f>dataset!$G231*L232*12</f>
        <v>147600.00000000003</v>
      </c>
      <c r="N23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1" s="7">
        <f>dataset!$K231+dataset!$M231</f>
        <v>1784400</v>
      </c>
      <c r="P231" s="7">
        <f>Payroll_Data_Analysis[[#This Row],[Annual Salary + KPI Bonus]]/12/29.3*31</f>
        <v>157327.64505119453</v>
      </c>
      <c r="Q231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231" s="7">
        <f>Payroll_Data_Analysis[[#This Row],[Monthly Salary]]*11</f>
        <v>1500400</v>
      </c>
      <c r="S231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231" s="7">
        <f>IF(Payroll_Data_Analysis[[#This Row],[Base Salary (Monthly)]]&gt;=200000,69507,IF(Payroll_Data_Analysis[[#This Row],[Base Salary (Monthly)]]&gt;=145000,52684,35103))</f>
        <v>35103</v>
      </c>
      <c r="U231" s="7">
        <f>Payroll_Data_Analysis[[#This Row],[Annual KPI Bonus Reserve]]+Payroll_Data_Analysis[[#This Row],[Vacation Reserve]]+Payroll_Data_Analysis[[#This Row],[11-Month Salary]]</f>
        <v>1805327.6450511946</v>
      </c>
      <c r="V231" s="7">
        <f>Payroll_Data_Analysis[[#This Row],[Payroll Taxes (KPI Bonus)]]+Payroll_Data_Analysis[[#This Row],[Payroll Taxes (Vacation)]]+Payroll_Data_Analysis[[#This Row],[Payroll Taxes (Salary)]]</f>
        <v>545208.94880546071</v>
      </c>
      <c r="W231" s="13">
        <f>Payroll_Data_Analysis[[#This Row],[Total Payroll]]+Payroll_Data_Analysis[[#This Row],[Total Payroll Taxes]]</f>
        <v>2350536.5938566551</v>
      </c>
    </row>
    <row r="232" spans="1:23">
      <c r="A232" s="11" t="s">
        <v>655</v>
      </c>
      <c r="B232" s="5" t="s">
        <v>235</v>
      </c>
      <c r="C232" s="5" t="s">
        <v>708</v>
      </c>
      <c r="D232" s="28" t="str">
        <f>VLOOKUP(Payroll_Data_Analysis[[#This Row],[Position]],Position_Map!$A$2:$B$58,2,FALSE)</f>
        <v>Professional</v>
      </c>
      <c r="E232" s="6">
        <v>1</v>
      </c>
      <c r="F232" s="7">
        <v>94800</v>
      </c>
      <c r="G232" s="7">
        <v>60000</v>
      </c>
      <c r="H232" s="7"/>
      <c r="I232" s="7">
        <f>dataset!$F232-dataset!$J232-dataset!$G232-dataset!$H232</f>
        <v>30000</v>
      </c>
      <c r="J232" s="7">
        <f>dataset!$G232*0.08</f>
        <v>4800</v>
      </c>
      <c r="K232" s="7">
        <f>dataset!$F232*12</f>
        <v>1137600</v>
      </c>
      <c r="L232" s="12">
        <f>IF(dataset!$G232&gt;=200000,38%,IF(dataset!$G232&lt;=145000,12.3%,))</f>
        <v>0.12300000000000001</v>
      </c>
      <c r="M232" s="7">
        <f>dataset!$G232*L233*12</f>
        <v>88560.000000000015</v>
      </c>
      <c r="N23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232" s="7">
        <f>dataset!$K232+dataset!$M232</f>
        <v>1226160</v>
      </c>
      <c r="P232" s="7">
        <f>Payroll_Data_Analysis[[#This Row],[Annual Salary + KPI Bonus]]/12/29.3*31</f>
        <v>108108.53242320818</v>
      </c>
      <c r="Q232" s="7">
        <f>IF(Payroll_Data_Analysis[[#This Row],[Vacation Reserve]]&lt;=2979000,Payroll_Data_Analysis[[#This Row],[Vacation Reserve]]*0.302,2979000*0.302+(Payroll_Data_Analysis[[#This Row],[Vacation Reserve]]-2979000)*0.151)</f>
        <v>32648.776791808868</v>
      </c>
      <c r="R232" s="7">
        <f>Payroll_Data_Analysis[[#This Row],[Monthly Salary]]*11</f>
        <v>1042800</v>
      </c>
      <c r="S232" s="7">
        <f>IF(Payroll_Data_Analysis[[#This Row],[11-Month Salary]]&lt;=2979000,Payroll_Data_Analysis[[#This Row],[11-Month Salary]]*0.302,2979000*0.302+(Payroll_Data_Analysis[[#This Row],[11-Month Salary]]-2979000)*0.151)</f>
        <v>314925.59999999998</v>
      </c>
      <c r="T232" s="7">
        <f>IF(Payroll_Data_Analysis[[#This Row],[Base Salary (Monthly)]]&gt;=200000,69507,IF(Payroll_Data_Analysis[[#This Row],[Base Salary (Monthly)]]&gt;=145000,52684,35103))</f>
        <v>35103</v>
      </c>
      <c r="U232" s="7">
        <f>Payroll_Data_Analysis[[#This Row],[Annual KPI Bonus Reserve]]+Payroll_Data_Analysis[[#This Row],[Vacation Reserve]]+Payroll_Data_Analysis[[#This Row],[11-Month Salary]]</f>
        <v>1239468.5324232082</v>
      </c>
      <c r="V232" s="7">
        <f>Payroll_Data_Analysis[[#This Row],[Payroll Taxes (KPI Bonus)]]+Payroll_Data_Analysis[[#This Row],[Payroll Taxes (Vacation)]]+Payroll_Data_Analysis[[#This Row],[Payroll Taxes (Salary)]]</f>
        <v>374319.49679180887</v>
      </c>
      <c r="W232" s="13">
        <f>Payroll_Data_Analysis[[#This Row],[Total Payroll]]+Payroll_Data_Analysis[[#This Row],[Total Payroll Taxes]]</f>
        <v>1613788.0292150171</v>
      </c>
    </row>
    <row r="233" spans="1:23">
      <c r="A233" s="11" t="s">
        <v>655</v>
      </c>
      <c r="B233" s="5" t="s">
        <v>236</v>
      </c>
      <c r="C233" s="5" t="s">
        <v>705</v>
      </c>
      <c r="D233" s="28" t="str">
        <f>VLOOKUP(Payroll_Data_Analysis[[#This Row],[Position]],Position_Map!$A$2:$B$58,2,FALSE)</f>
        <v>Professional</v>
      </c>
      <c r="E233" s="6">
        <v>1</v>
      </c>
      <c r="F233" s="7">
        <v>126400</v>
      </c>
      <c r="G233" s="7">
        <v>100000</v>
      </c>
      <c r="H233" s="7"/>
      <c r="I233" s="7">
        <f>dataset!$F233-dataset!$J233-dataset!$G233-dataset!$H233</f>
        <v>18400</v>
      </c>
      <c r="J233" s="7">
        <f>dataset!$G233*0.08</f>
        <v>8000</v>
      </c>
      <c r="K233" s="7">
        <f>dataset!$F233*12</f>
        <v>1516800</v>
      </c>
      <c r="L233" s="12">
        <f>IF(dataset!$G233&gt;=200000,38%,IF(dataset!$G233&lt;=145000,12.3%,))</f>
        <v>0.12300000000000001</v>
      </c>
      <c r="M233" s="7">
        <f>dataset!$G233*L234*12</f>
        <v>147600.00000000003</v>
      </c>
      <c r="N23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3" s="7">
        <f>dataset!$K233+dataset!$M233</f>
        <v>1664400</v>
      </c>
      <c r="P233" s="7">
        <f>Payroll_Data_Analysis[[#This Row],[Annual Salary + KPI Bonus]]/12/29.3*31</f>
        <v>146747.44027303753</v>
      </c>
      <c r="Q233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233" s="7">
        <f>Payroll_Data_Analysis[[#This Row],[Monthly Salary]]*11</f>
        <v>1390400</v>
      </c>
      <c r="S233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233" s="7">
        <f>IF(Payroll_Data_Analysis[[#This Row],[Base Salary (Monthly)]]&gt;=200000,69507,IF(Payroll_Data_Analysis[[#This Row],[Base Salary (Monthly)]]&gt;=145000,52684,35103))</f>
        <v>35103</v>
      </c>
      <c r="U233" s="7">
        <f>Payroll_Data_Analysis[[#This Row],[Annual KPI Bonus Reserve]]+Payroll_Data_Analysis[[#This Row],[Vacation Reserve]]+Payroll_Data_Analysis[[#This Row],[11-Month Salary]]</f>
        <v>1684747.4402730376</v>
      </c>
      <c r="V233" s="7">
        <f>Payroll_Data_Analysis[[#This Row],[Payroll Taxes (KPI Bonus)]]+Payroll_Data_Analysis[[#This Row],[Payroll Taxes (Vacation)]]+Payroll_Data_Analysis[[#This Row],[Payroll Taxes (Salary)]]</f>
        <v>508793.72696245729</v>
      </c>
      <c r="W233" s="13">
        <f>Payroll_Data_Analysis[[#This Row],[Total Payroll]]+Payroll_Data_Analysis[[#This Row],[Total Payroll Taxes]]</f>
        <v>2193541.1672354951</v>
      </c>
    </row>
    <row r="234" spans="1:23">
      <c r="A234" s="11" t="s">
        <v>655</v>
      </c>
      <c r="B234" s="5" t="s">
        <v>237</v>
      </c>
      <c r="C234" s="5" t="s">
        <v>724</v>
      </c>
      <c r="D234" s="28" t="str">
        <f>VLOOKUP(Payroll_Data_Analysis[[#This Row],[Position]],Position_Map!$A$2:$B$58,2,FALSE)</f>
        <v>Engineering</v>
      </c>
      <c r="E234" s="6">
        <v>1</v>
      </c>
      <c r="F234" s="7">
        <v>158000</v>
      </c>
      <c r="G234" s="7">
        <v>100000</v>
      </c>
      <c r="H234" s="7"/>
      <c r="I234" s="7">
        <f>dataset!$F234-dataset!$J234-dataset!$G234-dataset!$H234</f>
        <v>50000</v>
      </c>
      <c r="J234" s="7">
        <f>dataset!$G234*0.08</f>
        <v>8000</v>
      </c>
      <c r="K234" s="7">
        <f>dataset!$F234*12</f>
        <v>1896000</v>
      </c>
      <c r="L234" s="12">
        <f>IF(dataset!$G234&gt;=200000,38%,IF(dataset!$G234&lt;=145000,12.3%,))</f>
        <v>0.12300000000000001</v>
      </c>
      <c r="M234" s="7">
        <f>dataset!$G234*L235*12</f>
        <v>147600.00000000003</v>
      </c>
      <c r="N23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4" s="7">
        <f>dataset!$K234+dataset!$M234</f>
        <v>2043600</v>
      </c>
      <c r="P234" s="7">
        <f>Payroll_Data_Analysis[[#This Row],[Annual Salary + KPI Bonus]]/12/29.3*31</f>
        <v>180180.88737201365</v>
      </c>
      <c r="Q234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234" s="7">
        <f>Payroll_Data_Analysis[[#This Row],[Monthly Salary]]*11</f>
        <v>1738000</v>
      </c>
      <c r="S234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234" s="7">
        <f>IF(Payroll_Data_Analysis[[#This Row],[Base Salary (Monthly)]]&gt;=200000,69507,IF(Payroll_Data_Analysis[[#This Row],[Base Salary (Monthly)]]&gt;=145000,52684,35103))</f>
        <v>35103</v>
      </c>
      <c r="U234" s="7">
        <f>Payroll_Data_Analysis[[#This Row],[Annual KPI Bonus Reserve]]+Payroll_Data_Analysis[[#This Row],[Vacation Reserve]]+Payroll_Data_Analysis[[#This Row],[11-Month Salary]]</f>
        <v>2065780.8873720136</v>
      </c>
      <c r="V234" s="7">
        <f>Payroll_Data_Analysis[[#This Row],[Payroll Taxes (KPI Bonus)]]+Payroll_Data_Analysis[[#This Row],[Payroll Taxes (Vacation)]]+Payroll_Data_Analysis[[#This Row],[Payroll Taxes (Salary)]]</f>
        <v>623865.82798634819</v>
      </c>
      <c r="W234" s="13">
        <f>Payroll_Data_Analysis[[#This Row],[Total Payroll]]+Payroll_Data_Analysis[[#This Row],[Total Payroll Taxes]]</f>
        <v>2689646.7153583616</v>
      </c>
    </row>
    <row r="235" spans="1:23">
      <c r="A235" s="11" t="s">
        <v>655</v>
      </c>
      <c r="B235" s="5" t="s">
        <v>238</v>
      </c>
      <c r="C235" s="5" t="s">
        <v>710</v>
      </c>
      <c r="D235" s="28" t="str">
        <f>VLOOKUP(Payroll_Data_Analysis[[#This Row],[Position]],Position_Map!$A$2:$B$58,2,FALSE)</f>
        <v>Professional</v>
      </c>
      <c r="E235" s="6">
        <v>1</v>
      </c>
      <c r="F235" s="7">
        <v>81000</v>
      </c>
      <c r="G235" s="7">
        <v>60000</v>
      </c>
      <c r="H235" s="7"/>
      <c r="I235" s="7">
        <f>dataset!$F235-dataset!$J235-dataset!$G235-dataset!$H235</f>
        <v>16200</v>
      </c>
      <c r="J235" s="7">
        <f>dataset!$G235*0.08</f>
        <v>4800</v>
      </c>
      <c r="K235" s="7">
        <f>dataset!$F235*12</f>
        <v>972000</v>
      </c>
      <c r="L235" s="12">
        <f>IF(dataset!$G235&gt;=200000,38%,IF(dataset!$G235&lt;=145000,12.3%,))</f>
        <v>0.12300000000000001</v>
      </c>
      <c r="M235" s="7">
        <f>dataset!$G235*L236*12</f>
        <v>88560.000000000015</v>
      </c>
      <c r="N23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235" s="7">
        <f>dataset!$K235+dataset!$M235</f>
        <v>1060560</v>
      </c>
      <c r="P235" s="7">
        <f>Payroll_Data_Analysis[[#This Row],[Annual Salary + KPI Bonus]]/12/29.3*31</f>
        <v>93507.849829351544</v>
      </c>
      <c r="Q235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235" s="7">
        <f>Payroll_Data_Analysis[[#This Row],[Monthly Salary]]*11</f>
        <v>891000</v>
      </c>
      <c r="S235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235" s="7">
        <f>IF(Payroll_Data_Analysis[[#This Row],[Base Salary (Monthly)]]&gt;=200000,69507,IF(Payroll_Data_Analysis[[#This Row],[Base Salary (Monthly)]]&gt;=145000,52684,35103))</f>
        <v>35103</v>
      </c>
      <c r="U235" s="7">
        <f>Payroll_Data_Analysis[[#This Row],[Annual KPI Bonus Reserve]]+Payroll_Data_Analysis[[#This Row],[Vacation Reserve]]+Payroll_Data_Analysis[[#This Row],[11-Month Salary]]</f>
        <v>1073067.8498293515</v>
      </c>
      <c r="V235" s="7">
        <f>Payroll_Data_Analysis[[#This Row],[Payroll Taxes (KPI Bonus)]]+Payroll_Data_Analysis[[#This Row],[Payroll Taxes (Vacation)]]+Payroll_Data_Analysis[[#This Row],[Payroll Taxes (Salary)]]</f>
        <v>324066.49064846418</v>
      </c>
      <c r="W235" s="13">
        <f>Payroll_Data_Analysis[[#This Row],[Total Payroll]]+Payroll_Data_Analysis[[#This Row],[Total Payroll Taxes]]</f>
        <v>1397134.3404778158</v>
      </c>
    </row>
    <row r="236" spans="1:23">
      <c r="A236" s="11" t="s">
        <v>655</v>
      </c>
      <c r="B236" s="5" t="s">
        <v>239</v>
      </c>
      <c r="C236" s="5" t="s">
        <v>703</v>
      </c>
      <c r="D236" s="28" t="str">
        <f>VLOOKUP(Payroll_Data_Analysis[[#This Row],[Position]],Position_Map!$A$2:$B$58,2,FALSE)</f>
        <v>Management</v>
      </c>
      <c r="E236" s="6">
        <v>1</v>
      </c>
      <c r="F236" s="7">
        <v>221600</v>
      </c>
      <c r="G236" s="7">
        <v>145000</v>
      </c>
      <c r="H236" s="7"/>
      <c r="I236" s="7">
        <f>dataset!$F236-dataset!$J236-dataset!$G236-dataset!$H236</f>
        <v>65000</v>
      </c>
      <c r="J236" s="7">
        <f>dataset!$G236*0.08</f>
        <v>11600</v>
      </c>
      <c r="K236" s="7">
        <f>dataset!$F236*12</f>
        <v>2659200</v>
      </c>
      <c r="L236" s="12">
        <f>IF(dataset!$G236&gt;=200000,38%,IF(dataset!$G236&lt;=145000,12.3%,))</f>
        <v>0.12300000000000001</v>
      </c>
      <c r="M236" s="7">
        <f>dataset!$G236*L237*12</f>
        <v>214020</v>
      </c>
      <c r="N23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36" s="7">
        <f>dataset!$K236+dataset!$M236</f>
        <v>2873220</v>
      </c>
      <c r="P236" s="7">
        <f>Payroll_Data_Analysis[[#This Row],[Annual Salary + KPI Bonus]]/12/29.3*31</f>
        <v>253327.13310580203</v>
      </c>
      <c r="Q236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236" s="7">
        <f>Payroll_Data_Analysis[[#This Row],[Monthly Salary]]*11</f>
        <v>2437600</v>
      </c>
      <c r="S236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236" s="7">
        <f>IF(Payroll_Data_Analysis[[#This Row],[Base Salary (Monthly)]]&gt;=200000,69507,IF(Payroll_Data_Analysis[[#This Row],[Base Salary (Monthly)]]&gt;=145000,52684,35103))</f>
        <v>52684</v>
      </c>
      <c r="U236" s="7">
        <f>Payroll_Data_Analysis[[#This Row],[Annual KPI Bonus Reserve]]+Payroll_Data_Analysis[[#This Row],[Vacation Reserve]]+Payroll_Data_Analysis[[#This Row],[11-Month Salary]]</f>
        <v>2904947.1331058019</v>
      </c>
      <c r="V236" s="7">
        <f>Payroll_Data_Analysis[[#This Row],[Payroll Taxes (KPI Bonus)]]+Payroll_Data_Analysis[[#This Row],[Payroll Taxes (Vacation)]]+Payroll_Data_Analysis[[#This Row],[Payroll Taxes (Salary)]]</f>
        <v>877294.03419795213</v>
      </c>
      <c r="W236" s="13">
        <f>Payroll_Data_Analysis[[#This Row],[Total Payroll]]+Payroll_Data_Analysis[[#This Row],[Total Payroll Taxes]]</f>
        <v>3782241.167303754</v>
      </c>
    </row>
    <row r="237" spans="1:23">
      <c r="A237" s="11" t="s">
        <v>655</v>
      </c>
      <c r="B237" s="5" t="s">
        <v>240</v>
      </c>
      <c r="C237" s="5" t="s">
        <v>704</v>
      </c>
      <c r="D237" s="28" t="str">
        <f>VLOOKUP(Payroll_Data_Analysis[[#This Row],[Position]],Position_Map!$A$2:$B$58,2,FALSE)</f>
        <v>Management</v>
      </c>
      <c r="E237" s="6">
        <v>1</v>
      </c>
      <c r="F237" s="7">
        <v>173000</v>
      </c>
      <c r="G237" s="7">
        <v>100000</v>
      </c>
      <c r="H237" s="7"/>
      <c r="I237" s="7">
        <f>dataset!$F237-dataset!$J237-dataset!$G237-dataset!$H237</f>
        <v>65000</v>
      </c>
      <c r="J237" s="7">
        <f>dataset!$G237*0.08</f>
        <v>8000</v>
      </c>
      <c r="K237" s="7">
        <f>dataset!$F237*12</f>
        <v>2076000</v>
      </c>
      <c r="L237" s="12">
        <f>IF(dataset!$G237&gt;=200000,38%,IF(dataset!$G237&lt;=145000,12.3%,))</f>
        <v>0.12300000000000001</v>
      </c>
      <c r="M237" s="7">
        <f>dataset!$G237*L238*12</f>
        <v>147600.00000000003</v>
      </c>
      <c r="N23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7" s="7">
        <f>dataset!$K237+dataset!$M237</f>
        <v>2223600</v>
      </c>
      <c r="P237" s="7">
        <f>Payroll_Data_Analysis[[#This Row],[Annual Salary + KPI Bonus]]/12/29.3*31</f>
        <v>196051.19453924915</v>
      </c>
      <c r="Q237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237" s="7">
        <f>Payroll_Data_Analysis[[#This Row],[Monthly Salary]]*11</f>
        <v>1903000</v>
      </c>
      <c r="S237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237" s="7">
        <f>IF(Payroll_Data_Analysis[[#This Row],[Base Salary (Monthly)]]&gt;=200000,69507,IF(Payroll_Data_Analysis[[#This Row],[Base Salary (Monthly)]]&gt;=145000,52684,35103))</f>
        <v>35103</v>
      </c>
      <c r="U237" s="7">
        <f>Payroll_Data_Analysis[[#This Row],[Annual KPI Bonus Reserve]]+Payroll_Data_Analysis[[#This Row],[Vacation Reserve]]+Payroll_Data_Analysis[[#This Row],[11-Month Salary]]</f>
        <v>2246651.1945392489</v>
      </c>
      <c r="V237" s="7">
        <f>Payroll_Data_Analysis[[#This Row],[Payroll Taxes (KPI Bonus)]]+Payroll_Data_Analysis[[#This Row],[Payroll Taxes (Vacation)]]+Payroll_Data_Analysis[[#This Row],[Payroll Taxes (Salary)]]</f>
        <v>678488.66075085325</v>
      </c>
      <c r="W237" s="13">
        <f>Payroll_Data_Analysis[[#This Row],[Total Payroll]]+Payroll_Data_Analysis[[#This Row],[Total Payroll Taxes]]</f>
        <v>2925139.8552901023</v>
      </c>
    </row>
    <row r="238" spans="1:23">
      <c r="A238" s="11" t="s">
        <v>655</v>
      </c>
      <c r="B238" s="5" t="s">
        <v>241</v>
      </c>
      <c r="C238" s="5" t="s">
        <v>709</v>
      </c>
      <c r="D238" s="28" t="str">
        <f>VLOOKUP(Payroll_Data_Analysis[[#This Row],[Position]],Position_Map!$A$2:$B$58,2,FALSE)</f>
        <v>Engineering</v>
      </c>
      <c r="E238" s="6">
        <v>1</v>
      </c>
      <c r="F238" s="7">
        <v>124400</v>
      </c>
      <c r="G238" s="7">
        <v>100000</v>
      </c>
      <c r="H238" s="7"/>
      <c r="I238" s="7">
        <f>dataset!$F238-dataset!$J238-dataset!$G238-dataset!$H238</f>
        <v>16400</v>
      </c>
      <c r="J238" s="7">
        <f>dataset!$G238*0.08</f>
        <v>8000</v>
      </c>
      <c r="K238" s="7">
        <f>dataset!$F238*12</f>
        <v>1492800</v>
      </c>
      <c r="L238" s="12">
        <f>IF(dataset!$G238&gt;=200000,38%,IF(dataset!$G238&lt;=145000,12.3%,))</f>
        <v>0.12300000000000001</v>
      </c>
      <c r="M238" s="7">
        <f>dataset!$G238*L239*12</f>
        <v>147600.00000000003</v>
      </c>
      <c r="N23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8" s="7">
        <f>dataset!$K238+dataset!$M238</f>
        <v>1640400</v>
      </c>
      <c r="P238" s="7">
        <f>Payroll_Data_Analysis[[#This Row],[Annual Salary + KPI Bonus]]/12/29.3*31</f>
        <v>144631.39931740615</v>
      </c>
      <c r="Q238" s="7">
        <f>IF(Payroll_Data_Analysis[[#This Row],[Vacation Reserve]]&lt;=2979000,Payroll_Data_Analysis[[#This Row],[Vacation Reserve]]*0.302,2979000*0.302+(Payroll_Data_Analysis[[#This Row],[Vacation Reserve]]-2979000)*0.151)</f>
        <v>43678.682593856654</v>
      </c>
      <c r="R238" s="7">
        <f>Payroll_Data_Analysis[[#This Row],[Monthly Salary]]*11</f>
        <v>1368400</v>
      </c>
      <c r="S238" s="7">
        <f>IF(Payroll_Data_Analysis[[#This Row],[11-Month Salary]]&lt;=2979000,Payroll_Data_Analysis[[#This Row],[11-Month Salary]]*0.302,2979000*0.302+(Payroll_Data_Analysis[[#This Row],[11-Month Salary]]-2979000)*0.151)</f>
        <v>413256.8</v>
      </c>
      <c r="T238" s="7">
        <f>IF(Payroll_Data_Analysis[[#This Row],[Base Salary (Monthly)]]&gt;=200000,69507,IF(Payroll_Data_Analysis[[#This Row],[Base Salary (Monthly)]]&gt;=145000,52684,35103))</f>
        <v>35103</v>
      </c>
      <c r="U238" s="7">
        <f>Payroll_Data_Analysis[[#This Row],[Annual KPI Bonus Reserve]]+Payroll_Data_Analysis[[#This Row],[Vacation Reserve]]+Payroll_Data_Analysis[[#This Row],[11-Month Salary]]</f>
        <v>1660631.3993174061</v>
      </c>
      <c r="V238" s="7">
        <f>Payroll_Data_Analysis[[#This Row],[Payroll Taxes (KPI Bonus)]]+Payroll_Data_Analysis[[#This Row],[Payroll Taxes (Vacation)]]+Payroll_Data_Analysis[[#This Row],[Payroll Taxes (Salary)]]</f>
        <v>501510.68259385665</v>
      </c>
      <c r="W238" s="13">
        <f>Payroll_Data_Analysis[[#This Row],[Total Payroll]]+Payroll_Data_Analysis[[#This Row],[Total Payroll Taxes]]</f>
        <v>2162142.0819112626</v>
      </c>
    </row>
    <row r="239" spans="1:23">
      <c r="A239" s="11" t="s">
        <v>655</v>
      </c>
      <c r="B239" s="5" t="s">
        <v>242</v>
      </c>
      <c r="C239" s="5" t="s">
        <v>705</v>
      </c>
      <c r="D239" s="28" t="str">
        <f>VLOOKUP(Payroll_Data_Analysis[[#This Row],[Position]],Position_Map!$A$2:$B$58,2,FALSE)</f>
        <v>Professional</v>
      </c>
      <c r="E239" s="6">
        <v>1</v>
      </c>
      <c r="F239" s="7">
        <v>124400</v>
      </c>
      <c r="G239" s="7">
        <v>100000</v>
      </c>
      <c r="H239" s="7"/>
      <c r="I239" s="7">
        <f>dataset!$F239-dataset!$J239-dataset!$G239-dataset!$H239</f>
        <v>16400</v>
      </c>
      <c r="J239" s="7">
        <f>dataset!$G239*0.08</f>
        <v>8000</v>
      </c>
      <c r="K239" s="7">
        <f>dataset!$F239*12</f>
        <v>1492800</v>
      </c>
      <c r="L239" s="12">
        <f>IF(dataset!$G239&gt;=200000,38%,IF(dataset!$G239&lt;=145000,12.3%,))</f>
        <v>0.12300000000000001</v>
      </c>
      <c r="M239" s="7">
        <f>dataset!$G239*L240*12</f>
        <v>147600.00000000003</v>
      </c>
      <c r="N23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39" s="7">
        <f>dataset!$K239+dataset!$M239</f>
        <v>1640400</v>
      </c>
      <c r="P239" s="7">
        <f>Payroll_Data_Analysis[[#This Row],[Annual Salary + KPI Bonus]]/12/29.3*31</f>
        <v>144631.39931740615</v>
      </c>
      <c r="Q239" s="7">
        <f>IF(Payroll_Data_Analysis[[#This Row],[Vacation Reserve]]&lt;=2979000,Payroll_Data_Analysis[[#This Row],[Vacation Reserve]]*0.302,2979000*0.302+(Payroll_Data_Analysis[[#This Row],[Vacation Reserve]]-2979000)*0.151)</f>
        <v>43678.682593856654</v>
      </c>
      <c r="R239" s="7">
        <f>Payroll_Data_Analysis[[#This Row],[Monthly Salary]]*11</f>
        <v>1368400</v>
      </c>
      <c r="S239" s="7">
        <f>IF(Payroll_Data_Analysis[[#This Row],[11-Month Salary]]&lt;=2979000,Payroll_Data_Analysis[[#This Row],[11-Month Salary]]*0.302,2979000*0.302+(Payroll_Data_Analysis[[#This Row],[11-Month Salary]]-2979000)*0.151)</f>
        <v>413256.8</v>
      </c>
      <c r="T239" s="7">
        <f>IF(Payroll_Data_Analysis[[#This Row],[Base Salary (Monthly)]]&gt;=200000,69507,IF(Payroll_Data_Analysis[[#This Row],[Base Salary (Monthly)]]&gt;=145000,52684,35103))</f>
        <v>35103</v>
      </c>
      <c r="U239" s="7">
        <f>Payroll_Data_Analysis[[#This Row],[Annual KPI Bonus Reserve]]+Payroll_Data_Analysis[[#This Row],[Vacation Reserve]]+Payroll_Data_Analysis[[#This Row],[11-Month Salary]]</f>
        <v>1660631.3993174061</v>
      </c>
      <c r="V239" s="7">
        <f>Payroll_Data_Analysis[[#This Row],[Payroll Taxes (KPI Bonus)]]+Payroll_Data_Analysis[[#This Row],[Payroll Taxes (Vacation)]]+Payroll_Data_Analysis[[#This Row],[Payroll Taxes (Salary)]]</f>
        <v>501510.68259385665</v>
      </c>
      <c r="W239" s="13">
        <f>Payroll_Data_Analysis[[#This Row],[Total Payroll]]+Payroll_Data_Analysis[[#This Row],[Total Payroll Taxes]]</f>
        <v>2162142.0819112626</v>
      </c>
    </row>
    <row r="240" spans="1:23">
      <c r="A240" s="11" t="s">
        <v>655</v>
      </c>
      <c r="B240" s="5" t="s">
        <v>243</v>
      </c>
      <c r="C240" s="5" t="s">
        <v>709</v>
      </c>
      <c r="D240" s="28" t="str">
        <f>VLOOKUP(Payroll_Data_Analysis[[#This Row],[Position]],Position_Map!$A$2:$B$58,2,FALSE)</f>
        <v>Engineering</v>
      </c>
      <c r="E240" s="6">
        <v>1</v>
      </c>
      <c r="F240" s="7">
        <v>106400</v>
      </c>
      <c r="G240" s="7">
        <v>100000</v>
      </c>
      <c r="H240" s="7"/>
      <c r="I240" s="7">
        <f>dataset!$F240-dataset!$J240-dataset!$G240-dataset!$H240</f>
        <v>-1600</v>
      </c>
      <c r="J240" s="7">
        <f>dataset!$G240*0.08</f>
        <v>8000</v>
      </c>
      <c r="K240" s="7">
        <f>dataset!$F240*12</f>
        <v>1276800</v>
      </c>
      <c r="L240" s="12">
        <f>IF(dataset!$G240&gt;=200000,38%,IF(dataset!$G240&lt;=145000,12.3%,))</f>
        <v>0.12300000000000001</v>
      </c>
      <c r="M240" s="7">
        <f>dataset!$G240*L241*12</f>
        <v>147600.00000000003</v>
      </c>
      <c r="N24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0" s="7">
        <f>dataset!$K240+dataset!$M240</f>
        <v>1424400</v>
      </c>
      <c r="P240" s="7">
        <f>Payroll_Data_Analysis[[#This Row],[Annual Salary + KPI Bonus]]/12/29.3*31</f>
        <v>125587.03071672354</v>
      </c>
      <c r="Q240" s="7">
        <f>IF(Payroll_Data_Analysis[[#This Row],[Vacation Reserve]]&lt;=2979000,Payroll_Data_Analysis[[#This Row],[Vacation Reserve]]*0.302,2979000*0.302+(Payroll_Data_Analysis[[#This Row],[Vacation Reserve]]-2979000)*0.151)</f>
        <v>37927.283276450507</v>
      </c>
      <c r="R240" s="7">
        <f>Payroll_Data_Analysis[[#This Row],[Monthly Salary]]*11</f>
        <v>1170400</v>
      </c>
      <c r="S240" s="7">
        <f>IF(Payroll_Data_Analysis[[#This Row],[11-Month Salary]]&lt;=2979000,Payroll_Data_Analysis[[#This Row],[11-Month Salary]]*0.302,2979000*0.302+(Payroll_Data_Analysis[[#This Row],[11-Month Salary]]-2979000)*0.151)</f>
        <v>353460.8</v>
      </c>
      <c r="T240" s="7">
        <f>IF(Payroll_Data_Analysis[[#This Row],[Base Salary (Monthly)]]&gt;=200000,69507,IF(Payroll_Data_Analysis[[#This Row],[Base Salary (Monthly)]]&gt;=145000,52684,35103))</f>
        <v>35103</v>
      </c>
      <c r="U240" s="7">
        <f>Payroll_Data_Analysis[[#This Row],[Annual KPI Bonus Reserve]]+Payroll_Data_Analysis[[#This Row],[Vacation Reserve]]+Payroll_Data_Analysis[[#This Row],[11-Month Salary]]</f>
        <v>1443587.0307167235</v>
      </c>
      <c r="V240" s="7">
        <f>Payroll_Data_Analysis[[#This Row],[Payroll Taxes (KPI Bonus)]]+Payroll_Data_Analysis[[#This Row],[Payroll Taxes (Vacation)]]+Payroll_Data_Analysis[[#This Row],[Payroll Taxes (Salary)]]</f>
        <v>435963.28327645047</v>
      </c>
      <c r="W240" s="13">
        <f>Payroll_Data_Analysis[[#This Row],[Total Payroll]]+Payroll_Data_Analysis[[#This Row],[Total Payroll Taxes]]</f>
        <v>1879550.3139931741</v>
      </c>
    </row>
    <row r="241" spans="1:23">
      <c r="A241" s="11" t="s">
        <v>655</v>
      </c>
      <c r="B241" s="5" t="s">
        <v>244</v>
      </c>
      <c r="C241" s="5" t="s">
        <v>705</v>
      </c>
      <c r="D241" s="28" t="str">
        <f>VLOOKUP(Payroll_Data_Analysis[[#This Row],[Position]],Position_Map!$A$2:$B$58,2,FALSE)</f>
        <v>Professional</v>
      </c>
      <c r="E241" s="6">
        <v>1</v>
      </c>
      <c r="F241" s="7">
        <v>126400</v>
      </c>
      <c r="G241" s="7">
        <v>100000</v>
      </c>
      <c r="H241" s="7"/>
      <c r="I241" s="7">
        <f>dataset!$F241-dataset!$J241-dataset!$G241-dataset!$H241</f>
        <v>18400</v>
      </c>
      <c r="J241" s="7">
        <f>dataset!$G241*0.08</f>
        <v>8000</v>
      </c>
      <c r="K241" s="7">
        <f>dataset!$F241*12</f>
        <v>1516800</v>
      </c>
      <c r="L241" s="12">
        <f>IF(dataset!$G241&gt;=200000,38%,IF(dataset!$G241&lt;=145000,12.3%,))</f>
        <v>0.12300000000000001</v>
      </c>
      <c r="M241" s="7">
        <f>dataset!$G241*L242*12</f>
        <v>147600.00000000003</v>
      </c>
      <c r="N24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1" s="7">
        <f>dataset!$K241+dataset!$M241</f>
        <v>1664400</v>
      </c>
      <c r="P241" s="7">
        <f>Payroll_Data_Analysis[[#This Row],[Annual Salary + KPI Bonus]]/12/29.3*31</f>
        <v>146747.44027303753</v>
      </c>
      <c r="Q241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241" s="7">
        <f>Payroll_Data_Analysis[[#This Row],[Monthly Salary]]*11</f>
        <v>1390400</v>
      </c>
      <c r="S241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241" s="7">
        <f>IF(Payroll_Data_Analysis[[#This Row],[Base Salary (Monthly)]]&gt;=200000,69507,IF(Payroll_Data_Analysis[[#This Row],[Base Salary (Monthly)]]&gt;=145000,52684,35103))</f>
        <v>35103</v>
      </c>
      <c r="U241" s="7">
        <f>Payroll_Data_Analysis[[#This Row],[Annual KPI Bonus Reserve]]+Payroll_Data_Analysis[[#This Row],[Vacation Reserve]]+Payroll_Data_Analysis[[#This Row],[11-Month Salary]]</f>
        <v>1684747.4402730376</v>
      </c>
      <c r="V241" s="7">
        <f>Payroll_Data_Analysis[[#This Row],[Payroll Taxes (KPI Bonus)]]+Payroll_Data_Analysis[[#This Row],[Payroll Taxes (Vacation)]]+Payroll_Data_Analysis[[#This Row],[Payroll Taxes (Salary)]]</f>
        <v>508793.72696245729</v>
      </c>
      <c r="W241" s="13">
        <f>Payroll_Data_Analysis[[#This Row],[Total Payroll]]+Payroll_Data_Analysis[[#This Row],[Total Payroll Taxes]]</f>
        <v>2193541.1672354951</v>
      </c>
    </row>
    <row r="242" spans="1:23">
      <c r="A242" s="11" t="s">
        <v>655</v>
      </c>
      <c r="B242" s="5" t="s">
        <v>245</v>
      </c>
      <c r="C242" s="5" t="s">
        <v>709</v>
      </c>
      <c r="D242" s="28" t="str">
        <f>VLOOKUP(Payroll_Data_Analysis[[#This Row],[Position]],Position_Map!$A$2:$B$58,2,FALSE)</f>
        <v>Engineering</v>
      </c>
      <c r="E242" s="6">
        <v>1</v>
      </c>
      <c r="F242" s="7">
        <v>138000</v>
      </c>
      <c r="G242" s="7">
        <v>100000</v>
      </c>
      <c r="H242" s="7"/>
      <c r="I242" s="7">
        <f>dataset!$F242-dataset!$J242-dataset!$G242-dataset!$H242</f>
        <v>30000</v>
      </c>
      <c r="J242" s="7">
        <f>dataset!$G242*0.08</f>
        <v>8000</v>
      </c>
      <c r="K242" s="7">
        <f>dataset!$F242*12</f>
        <v>1656000</v>
      </c>
      <c r="L242" s="12">
        <f>IF(dataset!$G242&gt;=200000,38%,IF(dataset!$G242&lt;=145000,12.3%,))</f>
        <v>0.12300000000000001</v>
      </c>
      <c r="M242" s="7">
        <f>dataset!$G242*L243*12</f>
        <v>147600.00000000003</v>
      </c>
      <c r="N24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2" s="7">
        <f>dataset!$K242+dataset!$M242</f>
        <v>1803600</v>
      </c>
      <c r="P242" s="7">
        <f>Payroll_Data_Analysis[[#This Row],[Annual Salary + KPI Bonus]]/12/29.3*31</f>
        <v>159020.47781569965</v>
      </c>
      <c r="Q242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42" s="7">
        <f>Payroll_Data_Analysis[[#This Row],[Monthly Salary]]*11</f>
        <v>1518000</v>
      </c>
      <c r="S242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42" s="7">
        <f>IF(Payroll_Data_Analysis[[#This Row],[Base Salary (Monthly)]]&gt;=200000,69507,IF(Payroll_Data_Analysis[[#This Row],[Base Salary (Monthly)]]&gt;=145000,52684,35103))</f>
        <v>35103</v>
      </c>
      <c r="U242" s="7">
        <f>Payroll_Data_Analysis[[#This Row],[Annual KPI Bonus Reserve]]+Payroll_Data_Analysis[[#This Row],[Vacation Reserve]]+Payroll_Data_Analysis[[#This Row],[11-Month Salary]]</f>
        <v>1824620.4778156998</v>
      </c>
      <c r="V242" s="7">
        <f>Payroll_Data_Analysis[[#This Row],[Payroll Taxes (KPI Bonus)]]+Payroll_Data_Analysis[[#This Row],[Payroll Taxes (Vacation)]]+Payroll_Data_Analysis[[#This Row],[Payroll Taxes (Salary)]]</f>
        <v>551035.38430034136</v>
      </c>
      <c r="W242" s="13">
        <f>Payroll_Data_Analysis[[#This Row],[Total Payroll]]+Payroll_Data_Analysis[[#This Row],[Total Payroll Taxes]]</f>
        <v>2375655.8621160411</v>
      </c>
    </row>
    <row r="243" spans="1:23">
      <c r="A243" s="11" t="s">
        <v>656</v>
      </c>
      <c r="B243" s="5" t="s">
        <v>246</v>
      </c>
      <c r="C243" s="5" t="s">
        <v>703</v>
      </c>
      <c r="D243" s="28" t="str">
        <f>VLOOKUP(Payroll_Data_Analysis[[#This Row],[Position]],Position_Map!$A$2:$B$58,2,FALSE)</f>
        <v>Management</v>
      </c>
      <c r="E243" s="6">
        <v>1</v>
      </c>
      <c r="F243" s="7">
        <v>186600</v>
      </c>
      <c r="G243" s="7">
        <v>145000</v>
      </c>
      <c r="H243" s="7"/>
      <c r="I243" s="7">
        <f>dataset!$F243-dataset!$J243-dataset!$G243-dataset!$H243</f>
        <v>30000</v>
      </c>
      <c r="J243" s="7">
        <f>dataset!$G243*0.08</f>
        <v>11600</v>
      </c>
      <c r="K243" s="7">
        <f>dataset!$F243*12</f>
        <v>2239200</v>
      </c>
      <c r="L243" s="12">
        <f>IF(dataset!$G243&gt;=200000,38%,IF(dataset!$G243&lt;=145000,12.3%,))</f>
        <v>0.12300000000000001</v>
      </c>
      <c r="M243" s="7">
        <f>dataset!$G243*L244*12</f>
        <v>214020</v>
      </c>
      <c r="N24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43" s="7">
        <f>dataset!$K243+dataset!$M243</f>
        <v>2453220</v>
      </c>
      <c r="P243" s="7">
        <f>Payroll_Data_Analysis[[#This Row],[Annual Salary + KPI Bonus]]/12/29.3*31</f>
        <v>216296.41638225256</v>
      </c>
      <c r="Q243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43" s="7">
        <f>Payroll_Data_Analysis[[#This Row],[Monthly Salary]]*11</f>
        <v>2052600</v>
      </c>
      <c r="S243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43" s="7">
        <f>IF(Payroll_Data_Analysis[[#This Row],[Base Salary (Monthly)]]&gt;=200000,69507,IF(Payroll_Data_Analysis[[#This Row],[Base Salary (Monthly)]]&gt;=145000,52684,35103))</f>
        <v>52684</v>
      </c>
      <c r="U243" s="7">
        <f>Payroll_Data_Analysis[[#This Row],[Annual KPI Bonus Reserve]]+Payroll_Data_Analysis[[#This Row],[Vacation Reserve]]+Payroll_Data_Analysis[[#This Row],[11-Month Salary]]</f>
        <v>2482916.4163822527</v>
      </c>
      <c r="V243" s="7">
        <f>Payroll_Data_Analysis[[#This Row],[Payroll Taxes (KPI Bonus)]]+Payroll_Data_Analysis[[#This Row],[Payroll Taxes (Vacation)]]+Payroll_Data_Analysis[[#This Row],[Payroll Taxes (Salary)]]</f>
        <v>749840.75774744025</v>
      </c>
      <c r="W243" s="13">
        <f>Payroll_Data_Analysis[[#This Row],[Total Payroll]]+Payroll_Data_Analysis[[#This Row],[Total Payroll Taxes]]</f>
        <v>3232757.1741296928</v>
      </c>
    </row>
    <row r="244" spans="1:23">
      <c r="A244" s="11" t="s">
        <v>656</v>
      </c>
      <c r="B244" s="5" t="s">
        <v>247</v>
      </c>
      <c r="C244" s="5" t="s">
        <v>708</v>
      </c>
      <c r="D244" s="28" t="str">
        <f>VLOOKUP(Payroll_Data_Analysis[[#This Row],[Position]],Position_Map!$A$2:$B$58,2,FALSE)</f>
        <v>Professional</v>
      </c>
      <c r="E244" s="6">
        <v>1</v>
      </c>
      <c r="F244" s="7">
        <v>158000</v>
      </c>
      <c r="G244" s="7">
        <v>100000</v>
      </c>
      <c r="H244" s="7"/>
      <c r="I244" s="7">
        <f>dataset!$F244-dataset!$J244-dataset!$G244-dataset!$H244</f>
        <v>50000</v>
      </c>
      <c r="J244" s="7">
        <f>dataset!$G244*0.08</f>
        <v>8000</v>
      </c>
      <c r="K244" s="7">
        <f>dataset!$F244*12</f>
        <v>1896000</v>
      </c>
      <c r="L244" s="12">
        <f>IF(dataset!$G244&gt;=200000,38%,IF(dataset!$G244&lt;=145000,12.3%,))</f>
        <v>0.12300000000000001</v>
      </c>
      <c r="M244" s="7">
        <f>dataset!$G244*L245*12</f>
        <v>147600.00000000003</v>
      </c>
      <c r="N24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4" s="7">
        <f>dataset!$K244+dataset!$M244</f>
        <v>2043600</v>
      </c>
      <c r="P244" s="7">
        <f>Payroll_Data_Analysis[[#This Row],[Annual Salary + KPI Bonus]]/12/29.3*31</f>
        <v>180180.88737201365</v>
      </c>
      <c r="Q244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244" s="7">
        <f>Payroll_Data_Analysis[[#This Row],[Monthly Salary]]*11</f>
        <v>1738000</v>
      </c>
      <c r="S244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244" s="7">
        <f>IF(Payroll_Data_Analysis[[#This Row],[Base Salary (Monthly)]]&gt;=200000,69507,IF(Payroll_Data_Analysis[[#This Row],[Base Salary (Monthly)]]&gt;=145000,52684,35103))</f>
        <v>35103</v>
      </c>
      <c r="U244" s="7">
        <f>Payroll_Data_Analysis[[#This Row],[Annual KPI Bonus Reserve]]+Payroll_Data_Analysis[[#This Row],[Vacation Reserve]]+Payroll_Data_Analysis[[#This Row],[11-Month Salary]]</f>
        <v>2065780.8873720136</v>
      </c>
      <c r="V244" s="7">
        <f>Payroll_Data_Analysis[[#This Row],[Payroll Taxes (KPI Bonus)]]+Payroll_Data_Analysis[[#This Row],[Payroll Taxes (Vacation)]]+Payroll_Data_Analysis[[#This Row],[Payroll Taxes (Salary)]]</f>
        <v>623865.82798634819</v>
      </c>
      <c r="W244" s="13">
        <f>Payroll_Data_Analysis[[#This Row],[Total Payroll]]+Payroll_Data_Analysis[[#This Row],[Total Payroll Taxes]]</f>
        <v>2689646.7153583616</v>
      </c>
    </row>
    <row r="245" spans="1:23">
      <c r="A245" s="11" t="s">
        <v>656</v>
      </c>
      <c r="B245" s="5" t="s">
        <v>248</v>
      </c>
      <c r="C245" s="5" t="s">
        <v>708</v>
      </c>
      <c r="D245" s="28" t="str">
        <f>VLOOKUP(Payroll_Data_Analysis[[#This Row],[Position]],Position_Map!$A$2:$B$58,2,FALSE)</f>
        <v>Professional</v>
      </c>
      <c r="E245" s="6">
        <v>1</v>
      </c>
      <c r="F245" s="7">
        <v>158000</v>
      </c>
      <c r="G245" s="7">
        <v>100000</v>
      </c>
      <c r="H245" s="7"/>
      <c r="I245" s="7">
        <f>dataset!$F245-dataset!$J245-dataset!$G245-dataset!$H245</f>
        <v>50000</v>
      </c>
      <c r="J245" s="7">
        <f>dataset!$G245*0.08</f>
        <v>8000</v>
      </c>
      <c r="K245" s="7">
        <f>dataset!$F245*12</f>
        <v>1896000</v>
      </c>
      <c r="L245" s="12">
        <f>IF(dataset!$G245&gt;=200000,38%,IF(dataset!$G245&lt;=145000,12.3%,))</f>
        <v>0.12300000000000001</v>
      </c>
      <c r="M245" s="7">
        <f>dataset!$G245*L246*12</f>
        <v>147600.00000000003</v>
      </c>
      <c r="N24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5" s="7">
        <f>dataset!$K245+dataset!$M245</f>
        <v>2043600</v>
      </c>
      <c r="P245" s="7">
        <f>Payroll_Data_Analysis[[#This Row],[Annual Salary + KPI Bonus]]/12/29.3*31</f>
        <v>180180.88737201365</v>
      </c>
      <c r="Q245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245" s="7">
        <f>Payroll_Data_Analysis[[#This Row],[Monthly Salary]]*11</f>
        <v>1738000</v>
      </c>
      <c r="S245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245" s="7">
        <f>IF(Payroll_Data_Analysis[[#This Row],[Base Salary (Monthly)]]&gt;=200000,69507,IF(Payroll_Data_Analysis[[#This Row],[Base Salary (Monthly)]]&gt;=145000,52684,35103))</f>
        <v>35103</v>
      </c>
      <c r="U245" s="7">
        <f>Payroll_Data_Analysis[[#This Row],[Annual KPI Bonus Reserve]]+Payroll_Data_Analysis[[#This Row],[Vacation Reserve]]+Payroll_Data_Analysis[[#This Row],[11-Month Salary]]</f>
        <v>2065780.8873720136</v>
      </c>
      <c r="V245" s="7">
        <f>Payroll_Data_Analysis[[#This Row],[Payroll Taxes (KPI Bonus)]]+Payroll_Data_Analysis[[#This Row],[Payroll Taxes (Vacation)]]+Payroll_Data_Analysis[[#This Row],[Payroll Taxes (Salary)]]</f>
        <v>623865.82798634819</v>
      </c>
      <c r="W245" s="13">
        <f>Payroll_Data_Analysis[[#This Row],[Total Payroll]]+Payroll_Data_Analysis[[#This Row],[Total Payroll Taxes]]</f>
        <v>2689646.7153583616</v>
      </c>
    </row>
    <row r="246" spans="1:23">
      <c r="A246" s="11" t="s">
        <v>656</v>
      </c>
      <c r="B246" s="5" t="s">
        <v>249</v>
      </c>
      <c r="C246" s="5" t="s">
        <v>708</v>
      </c>
      <c r="D246" s="28" t="str">
        <f>VLOOKUP(Payroll_Data_Analysis[[#This Row],[Position]],Position_Map!$A$2:$B$58,2,FALSE)</f>
        <v>Professional</v>
      </c>
      <c r="E246" s="6">
        <v>1</v>
      </c>
      <c r="F246" s="7">
        <v>160000</v>
      </c>
      <c r="G246" s="7">
        <v>100000</v>
      </c>
      <c r="H246" s="7"/>
      <c r="I246" s="7">
        <f>dataset!$F246-dataset!$J246-dataset!$G246-dataset!$H246</f>
        <v>52000</v>
      </c>
      <c r="J246" s="7">
        <f>dataset!$G246*0.08</f>
        <v>8000</v>
      </c>
      <c r="K246" s="7">
        <f>dataset!$F246*12</f>
        <v>1920000</v>
      </c>
      <c r="L246" s="12">
        <f>IF(dataset!$G246&gt;=200000,38%,IF(dataset!$G246&lt;=145000,12.3%,))</f>
        <v>0.12300000000000001</v>
      </c>
      <c r="M246" s="7">
        <f>dataset!$G246*L247*12</f>
        <v>147600.00000000003</v>
      </c>
      <c r="N24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46" s="7">
        <f>dataset!$K246+dataset!$M246</f>
        <v>2067600</v>
      </c>
      <c r="P246" s="7">
        <f>Payroll_Data_Analysis[[#This Row],[Annual Salary + KPI Bonus]]/12/29.3*31</f>
        <v>182296.92832764506</v>
      </c>
      <c r="Q246" s="7">
        <f>IF(Payroll_Data_Analysis[[#This Row],[Vacation Reserve]]&lt;=2979000,Payroll_Data_Analysis[[#This Row],[Vacation Reserve]]*0.302,2979000*0.302+(Payroll_Data_Analysis[[#This Row],[Vacation Reserve]]-2979000)*0.151)</f>
        <v>55053.672354948809</v>
      </c>
      <c r="R246" s="7">
        <f>Payroll_Data_Analysis[[#This Row],[Monthly Salary]]*11</f>
        <v>1760000</v>
      </c>
      <c r="S246" s="7">
        <f>IF(Payroll_Data_Analysis[[#This Row],[11-Month Salary]]&lt;=2979000,Payroll_Data_Analysis[[#This Row],[11-Month Salary]]*0.302,2979000*0.302+(Payroll_Data_Analysis[[#This Row],[11-Month Salary]]-2979000)*0.151)</f>
        <v>531520</v>
      </c>
      <c r="T246" s="7">
        <f>IF(Payroll_Data_Analysis[[#This Row],[Base Salary (Monthly)]]&gt;=200000,69507,IF(Payroll_Data_Analysis[[#This Row],[Base Salary (Monthly)]]&gt;=145000,52684,35103))</f>
        <v>35103</v>
      </c>
      <c r="U246" s="7">
        <f>Payroll_Data_Analysis[[#This Row],[Annual KPI Bonus Reserve]]+Payroll_Data_Analysis[[#This Row],[Vacation Reserve]]+Payroll_Data_Analysis[[#This Row],[11-Month Salary]]</f>
        <v>2089896.9283276452</v>
      </c>
      <c r="V246" s="7">
        <f>Payroll_Data_Analysis[[#This Row],[Payroll Taxes (KPI Bonus)]]+Payroll_Data_Analysis[[#This Row],[Payroll Taxes (Vacation)]]+Payroll_Data_Analysis[[#This Row],[Payroll Taxes (Salary)]]</f>
        <v>631148.87235494878</v>
      </c>
      <c r="W246" s="13">
        <f>Payroll_Data_Analysis[[#This Row],[Total Payroll]]+Payroll_Data_Analysis[[#This Row],[Total Payroll Taxes]]</f>
        <v>2721045.8006825941</v>
      </c>
    </row>
    <row r="247" spans="1:23">
      <c r="A247" s="11" t="s">
        <v>656</v>
      </c>
      <c r="B247" s="5" t="s">
        <v>250</v>
      </c>
      <c r="C247" s="5" t="s">
        <v>725</v>
      </c>
      <c r="D247" s="28" t="str">
        <f>VLOOKUP(Payroll_Data_Analysis[[#This Row],[Position]],Position_Map!$A$2:$B$58,2,FALSE)</f>
        <v>Technical</v>
      </c>
      <c r="E247" s="6">
        <v>1</v>
      </c>
      <c r="F247" s="7">
        <v>96400</v>
      </c>
      <c r="G247" s="7">
        <v>80000</v>
      </c>
      <c r="H247" s="7"/>
      <c r="I247" s="7">
        <f>dataset!$F247-dataset!$J247-dataset!$G247-dataset!$H247</f>
        <v>10000</v>
      </c>
      <c r="J247" s="7">
        <f>dataset!$G247*0.08</f>
        <v>6400</v>
      </c>
      <c r="K247" s="7">
        <f>dataset!$F247*12</f>
        <v>1156800</v>
      </c>
      <c r="L247" s="12">
        <f>IF(dataset!$G247&gt;=200000,38%,IF(dataset!$G247&lt;=145000,12.3%,))</f>
        <v>0.12300000000000001</v>
      </c>
      <c r="M247" s="7">
        <f>dataset!$G247*L248*12</f>
        <v>118080.00000000003</v>
      </c>
      <c r="N24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47" s="7">
        <f>dataset!$K247+dataset!$M247</f>
        <v>1274880</v>
      </c>
      <c r="P247" s="7">
        <f>Payroll_Data_Analysis[[#This Row],[Annual Salary + KPI Bonus]]/12/29.3*31</f>
        <v>112404.09556313993</v>
      </c>
      <c r="Q247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247" s="7">
        <f>Payroll_Data_Analysis[[#This Row],[Monthly Salary]]*11</f>
        <v>1060400</v>
      </c>
      <c r="S247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247" s="7">
        <f>IF(Payroll_Data_Analysis[[#This Row],[Base Salary (Monthly)]]&gt;=200000,69507,IF(Payroll_Data_Analysis[[#This Row],[Base Salary (Monthly)]]&gt;=145000,52684,35103))</f>
        <v>35103</v>
      </c>
      <c r="U247" s="7">
        <f>Payroll_Data_Analysis[[#This Row],[Annual KPI Bonus Reserve]]+Payroll_Data_Analysis[[#This Row],[Vacation Reserve]]+Payroll_Data_Analysis[[#This Row],[11-Month Salary]]</f>
        <v>1290884.09556314</v>
      </c>
      <c r="V247" s="7">
        <f>Payroll_Data_Analysis[[#This Row],[Payroll Taxes (KPI Bonus)]]+Payroll_Data_Analysis[[#This Row],[Payroll Taxes (Vacation)]]+Payroll_Data_Analysis[[#This Row],[Payroll Taxes (Salary)]]</f>
        <v>389846.99686006829</v>
      </c>
      <c r="W247" s="13">
        <f>Payroll_Data_Analysis[[#This Row],[Total Payroll]]+Payroll_Data_Analysis[[#This Row],[Total Payroll Taxes]]</f>
        <v>1680731.0924232083</v>
      </c>
    </row>
    <row r="248" spans="1:23">
      <c r="A248" s="11" t="s">
        <v>657</v>
      </c>
      <c r="B248" s="5" t="s">
        <v>251</v>
      </c>
      <c r="C248" s="5" t="s">
        <v>703</v>
      </c>
      <c r="D248" s="28" t="str">
        <f>VLOOKUP(Payroll_Data_Analysis[[#This Row],[Position]],Position_Map!$A$2:$B$58,2,FALSE)</f>
        <v>Management</v>
      </c>
      <c r="E248" s="6">
        <v>1</v>
      </c>
      <c r="F248" s="7">
        <v>211600</v>
      </c>
      <c r="G248" s="7">
        <v>145000</v>
      </c>
      <c r="H248" s="7"/>
      <c r="I248" s="7">
        <f>dataset!$F248-dataset!$J248-dataset!$G248-dataset!$H248</f>
        <v>55000</v>
      </c>
      <c r="J248" s="7">
        <f>dataset!$G248*0.08</f>
        <v>11600</v>
      </c>
      <c r="K248" s="7">
        <f>dataset!$F248*12</f>
        <v>2539200</v>
      </c>
      <c r="L248" s="12">
        <f>IF(dataset!$G248&gt;=200000,38%,IF(dataset!$G248&lt;=145000,12.3%,))</f>
        <v>0.12300000000000001</v>
      </c>
      <c r="M248" s="7">
        <f>dataset!$G248*L249*12</f>
        <v>214020</v>
      </c>
      <c r="N24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48" s="7">
        <f>dataset!$K248+dataset!$M248</f>
        <v>2753220</v>
      </c>
      <c r="P248" s="7">
        <f>Payroll_Data_Analysis[[#This Row],[Annual Salary + KPI Bonus]]/12/29.3*31</f>
        <v>242746.92832764506</v>
      </c>
      <c r="Q248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248" s="7">
        <f>Payroll_Data_Analysis[[#This Row],[Monthly Salary]]*11</f>
        <v>2327600</v>
      </c>
      <c r="S248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248" s="7">
        <f>IF(Payroll_Data_Analysis[[#This Row],[Base Salary (Monthly)]]&gt;=200000,69507,IF(Payroll_Data_Analysis[[#This Row],[Base Salary (Monthly)]]&gt;=145000,52684,35103))</f>
        <v>52684</v>
      </c>
      <c r="U248" s="7">
        <f>Payroll_Data_Analysis[[#This Row],[Annual KPI Bonus Reserve]]+Payroll_Data_Analysis[[#This Row],[Vacation Reserve]]+Payroll_Data_Analysis[[#This Row],[11-Month Salary]]</f>
        <v>2784366.9283276452</v>
      </c>
      <c r="V248" s="7">
        <f>Payroll_Data_Analysis[[#This Row],[Payroll Taxes (KPI Bonus)]]+Payroll_Data_Analysis[[#This Row],[Payroll Taxes (Vacation)]]+Payroll_Data_Analysis[[#This Row],[Payroll Taxes (Salary)]]</f>
        <v>840878.81235494872</v>
      </c>
      <c r="W248" s="13">
        <f>Payroll_Data_Analysis[[#This Row],[Total Payroll]]+Payroll_Data_Analysis[[#This Row],[Total Payroll Taxes]]</f>
        <v>3625245.740682594</v>
      </c>
    </row>
    <row r="249" spans="1:23">
      <c r="A249" s="11" t="s">
        <v>657</v>
      </c>
      <c r="B249" s="5" t="s">
        <v>252</v>
      </c>
      <c r="C249" s="5" t="s">
        <v>704</v>
      </c>
      <c r="D249" s="28" t="str">
        <f>VLOOKUP(Payroll_Data_Analysis[[#This Row],[Position]],Position_Map!$A$2:$B$58,2,FALSE)</f>
        <v>Management</v>
      </c>
      <c r="E249" s="6">
        <v>1</v>
      </c>
      <c r="F249" s="7">
        <v>186600</v>
      </c>
      <c r="G249" s="7">
        <v>145000</v>
      </c>
      <c r="H249" s="7"/>
      <c r="I249" s="7">
        <f>dataset!$F249-dataset!$J249-dataset!$G249-dataset!$H249</f>
        <v>30000</v>
      </c>
      <c r="J249" s="7">
        <f>dataset!$G249*0.08</f>
        <v>11600</v>
      </c>
      <c r="K249" s="7">
        <f>dataset!$F249*12</f>
        <v>2239200</v>
      </c>
      <c r="L249" s="12">
        <f>IF(dataset!$G249&gt;=200000,38%,IF(dataset!$G249&lt;=145000,12.3%,))</f>
        <v>0.12300000000000001</v>
      </c>
      <c r="M249" s="7">
        <f>dataset!$G249*L250*12</f>
        <v>214020</v>
      </c>
      <c r="N24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49" s="7">
        <f>dataset!$K249+dataset!$M249</f>
        <v>2453220</v>
      </c>
      <c r="P249" s="7">
        <f>Payroll_Data_Analysis[[#This Row],[Annual Salary + KPI Bonus]]/12/29.3*31</f>
        <v>216296.41638225256</v>
      </c>
      <c r="Q249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49" s="7">
        <f>Payroll_Data_Analysis[[#This Row],[Monthly Salary]]*11</f>
        <v>2052600</v>
      </c>
      <c r="S249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49" s="7">
        <f>IF(Payroll_Data_Analysis[[#This Row],[Base Salary (Monthly)]]&gt;=200000,69507,IF(Payroll_Data_Analysis[[#This Row],[Base Salary (Monthly)]]&gt;=145000,52684,35103))</f>
        <v>52684</v>
      </c>
      <c r="U249" s="7">
        <f>Payroll_Data_Analysis[[#This Row],[Annual KPI Bonus Reserve]]+Payroll_Data_Analysis[[#This Row],[Vacation Reserve]]+Payroll_Data_Analysis[[#This Row],[11-Month Salary]]</f>
        <v>2482916.4163822527</v>
      </c>
      <c r="V249" s="7">
        <f>Payroll_Data_Analysis[[#This Row],[Payroll Taxes (KPI Bonus)]]+Payroll_Data_Analysis[[#This Row],[Payroll Taxes (Vacation)]]+Payroll_Data_Analysis[[#This Row],[Payroll Taxes (Salary)]]</f>
        <v>749840.75774744025</v>
      </c>
      <c r="W249" s="13">
        <f>Payroll_Data_Analysis[[#This Row],[Total Payroll]]+Payroll_Data_Analysis[[#This Row],[Total Payroll Taxes]]</f>
        <v>3232757.1741296928</v>
      </c>
    </row>
    <row r="250" spans="1:23">
      <c r="A250" s="11" t="s">
        <v>657</v>
      </c>
      <c r="B250" s="5" t="s">
        <v>253</v>
      </c>
      <c r="C250" s="5" t="s">
        <v>709</v>
      </c>
      <c r="D250" s="28" t="str">
        <f>VLOOKUP(Payroll_Data_Analysis[[#This Row],[Position]],Position_Map!$A$2:$B$58,2,FALSE)</f>
        <v>Engineering</v>
      </c>
      <c r="E250" s="6">
        <v>1</v>
      </c>
      <c r="F250" s="7">
        <v>178000</v>
      </c>
      <c r="G250" s="7">
        <v>100000</v>
      </c>
      <c r="H250" s="7"/>
      <c r="I250" s="7">
        <f>dataset!$F250-dataset!$J250-dataset!$G250-dataset!$H250</f>
        <v>70000</v>
      </c>
      <c r="J250" s="7">
        <f>dataset!$G250*0.08</f>
        <v>8000</v>
      </c>
      <c r="K250" s="7">
        <f>dataset!$F250*12</f>
        <v>2136000</v>
      </c>
      <c r="L250" s="12">
        <f>IF(dataset!$G250&gt;=200000,38%,IF(dataset!$G250&lt;=145000,12.3%,))</f>
        <v>0.12300000000000001</v>
      </c>
      <c r="M250" s="7">
        <f>dataset!$G250*L251*12</f>
        <v>147600.00000000003</v>
      </c>
      <c r="N25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0" s="7">
        <f>dataset!$K250+dataset!$M250</f>
        <v>2283600</v>
      </c>
      <c r="P250" s="7">
        <f>Payroll_Data_Analysis[[#This Row],[Annual Salary + KPI Bonus]]/12/29.3*31</f>
        <v>201341.29692832765</v>
      </c>
      <c r="Q250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250" s="7">
        <f>Payroll_Data_Analysis[[#This Row],[Monthly Salary]]*11</f>
        <v>1958000</v>
      </c>
      <c r="S250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250" s="7">
        <f>IF(Payroll_Data_Analysis[[#This Row],[Base Salary (Monthly)]]&gt;=200000,69507,IF(Payroll_Data_Analysis[[#This Row],[Base Salary (Monthly)]]&gt;=145000,52684,35103))</f>
        <v>35103</v>
      </c>
      <c r="U250" s="7">
        <f>Payroll_Data_Analysis[[#This Row],[Annual KPI Bonus Reserve]]+Payroll_Data_Analysis[[#This Row],[Vacation Reserve]]+Payroll_Data_Analysis[[#This Row],[11-Month Salary]]</f>
        <v>2306941.2969283275</v>
      </c>
      <c r="V250" s="7">
        <f>Payroll_Data_Analysis[[#This Row],[Payroll Taxes (KPI Bonus)]]+Payroll_Data_Analysis[[#This Row],[Payroll Taxes (Vacation)]]+Payroll_Data_Analysis[[#This Row],[Payroll Taxes (Salary)]]</f>
        <v>696696.27167235501</v>
      </c>
      <c r="W250" s="13">
        <f>Payroll_Data_Analysis[[#This Row],[Total Payroll]]+Payroll_Data_Analysis[[#This Row],[Total Payroll Taxes]]</f>
        <v>3003637.5686006825</v>
      </c>
    </row>
    <row r="251" spans="1:23">
      <c r="A251" s="11" t="s">
        <v>658</v>
      </c>
      <c r="B251" s="5" t="s">
        <v>254</v>
      </c>
      <c r="C251" s="5" t="s">
        <v>703</v>
      </c>
      <c r="D251" s="28" t="str">
        <f>VLOOKUP(Payroll_Data_Analysis[[#This Row],[Position]],Position_Map!$A$2:$B$58,2,FALSE)</f>
        <v>Management</v>
      </c>
      <c r="E251" s="6">
        <v>1</v>
      </c>
      <c r="F251" s="7">
        <v>186600</v>
      </c>
      <c r="G251" s="7">
        <v>145000</v>
      </c>
      <c r="H251" s="7"/>
      <c r="I251" s="7">
        <f>dataset!$F251-dataset!$J251-dataset!$G251-dataset!$H251</f>
        <v>30000</v>
      </c>
      <c r="J251" s="7">
        <f>dataset!$G251*0.08</f>
        <v>11600</v>
      </c>
      <c r="K251" s="7">
        <f>dataset!$F251*12</f>
        <v>2239200</v>
      </c>
      <c r="L251" s="12">
        <f>IF(dataset!$G251&gt;=200000,38%,IF(dataset!$G251&lt;=145000,12.3%,))</f>
        <v>0.12300000000000001</v>
      </c>
      <c r="M251" s="7">
        <f>dataset!$G251*L252*12</f>
        <v>214020</v>
      </c>
      <c r="N25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51" s="7">
        <f>dataset!$K251+dataset!$M251</f>
        <v>2453220</v>
      </c>
      <c r="P251" s="7">
        <f>Payroll_Data_Analysis[[#This Row],[Annual Salary + KPI Bonus]]/12/29.3*31</f>
        <v>216296.41638225256</v>
      </c>
      <c r="Q251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51" s="7">
        <f>Payroll_Data_Analysis[[#This Row],[Monthly Salary]]*11</f>
        <v>2052600</v>
      </c>
      <c r="S251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51" s="7">
        <f>IF(Payroll_Data_Analysis[[#This Row],[Base Salary (Monthly)]]&gt;=200000,69507,IF(Payroll_Data_Analysis[[#This Row],[Base Salary (Monthly)]]&gt;=145000,52684,35103))</f>
        <v>52684</v>
      </c>
      <c r="U251" s="7">
        <f>Payroll_Data_Analysis[[#This Row],[Annual KPI Bonus Reserve]]+Payroll_Data_Analysis[[#This Row],[Vacation Reserve]]+Payroll_Data_Analysis[[#This Row],[11-Month Salary]]</f>
        <v>2482916.4163822527</v>
      </c>
      <c r="V251" s="7">
        <f>Payroll_Data_Analysis[[#This Row],[Payroll Taxes (KPI Bonus)]]+Payroll_Data_Analysis[[#This Row],[Payroll Taxes (Vacation)]]+Payroll_Data_Analysis[[#This Row],[Payroll Taxes (Salary)]]</f>
        <v>749840.75774744025</v>
      </c>
      <c r="W251" s="13">
        <f>Payroll_Data_Analysis[[#This Row],[Total Payroll]]+Payroll_Data_Analysis[[#This Row],[Total Payroll Taxes]]</f>
        <v>3232757.1741296928</v>
      </c>
    </row>
    <row r="252" spans="1:23">
      <c r="A252" s="11" t="s">
        <v>658</v>
      </c>
      <c r="B252" s="5" t="s">
        <v>255</v>
      </c>
      <c r="C252" s="5" t="s">
        <v>705</v>
      </c>
      <c r="D252" s="28" t="str">
        <f>VLOOKUP(Payroll_Data_Analysis[[#This Row],[Position]],Position_Map!$A$2:$B$58,2,FALSE)</f>
        <v>Professional</v>
      </c>
      <c r="E252" s="6">
        <v>1</v>
      </c>
      <c r="F252" s="7">
        <v>138000</v>
      </c>
      <c r="G252" s="7">
        <v>100000</v>
      </c>
      <c r="H252" s="7"/>
      <c r="I252" s="7">
        <f>dataset!$F252-dataset!$J252-dataset!$G252-dataset!$H252</f>
        <v>30000</v>
      </c>
      <c r="J252" s="7">
        <f>dataset!$G252*0.08</f>
        <v>8000</v>
      </c>
      <c r="K252" s="7">
        <f>dataset!$F252*12</f>
        <v>1656000</v>
      </c>
      <c r="L252" s="12">
        <f>IF(dataset!$G252&gt;=200000,38%,IF(dataset!$G252&lt;=145000,12.3%,))</f>
        <v>0.12300000000000001</v>
      </c>
      <c r="M252" s="7">
        <f>dataset!$G252*L253*12</f>
        <v>147600.00000000003</v>
      </c>
      <c r="N25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2" s="7">
        <f>dataset!$K252+dataset!$M252</f>
        <v>1803600</v>
      </c>
      <c r="P252" s="7">
        <f>Payroll_Data_Analysis[[#This Row],[Annual Salary + KPI Bonus]]/12/29.3*31</f>
        <v>159020.47781569965</v>
      </c>
      <c r="Q252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2" s="7">
        <f>Payroll_Data_Analysis[[#This Row],[Monthly Salary]]*11</f>
        <v>1518000</v>
      </c>
      <c r="S252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2" s="7">
        <f>IF(Payroll_Data_Analysis[[#This Row],[Base Salary (Monthly)]]&gt;=200000,69507,IF(Payroll_Data_Analysis[[#This Row],[Base Salary (Monthly)]]&gt;=145000,52684,35103))</f>
        <v>35103</v>
      </c>
      <c r="U252" s="7">
        <f>Payroll_Data_Analysis[[#This Row],[Annual KPI Bonus Reserve]]+Payroll_Data_Analysis[[#This Row],[Vacation Reserve]]+Payroll_Data_Analysis[[#This Row],[11-Month Salary]]</f>
        <v>1824620.4778156998</v>
      </c>
      <c r="V252" s="7">
        <f>Payroll_Data_Analysis[[#This Row],[Payroll Taxes (KPI Bonus)]]+Payroll_Data_Analysis[[#This Row],[Payroll Taxes (Vacation)]]+Payroll_Data_Analysis[[#This Row],[Payroll Taxes (Salary)]]</f>
        <v>551035.38430034136</v>
      </c>
      <c r="W252" s="13">
        <f>Payroll_Data_Analysis[[#This Row],[Total Payroll]]+Payroll_Data_Analysis[[#This Row],[Total Payroll Taxes]]</f>
        <v>2375655.8621160411</v>
      </c>
    </row>
    <row r="253" spans="1:23">
      <c r="A253" s="11" t="s">
        <v>658</v>
      </c>
      <c r="B253" s="5" t="s">
        <v>256</v>
      </c>
      <c r="C253" s="5" t="s">
        <v>705</v>
      </c>
      <c r="D253" s="28" t="str">
        <f>VLOOKUP(Payroll_Data_Analysis[[#This Row],[Position]],Position_Map!$A$2:$B$58,2,FALSE)</f>
        <v>Professional</v>
      </c>
      <c r="E253" s="6">
        <v>1</v>
      </c>
      <c r="F253" s="7">
        <v>138000</v>
      </c>
      <c r="G253" s="7">
        <v>100000</v>
      </c>
      <c r="H253" s="7"/>
      <c r="I253" s="7">
        <f>dataset!$F253-dataset!$J253-dataset!$G253-dataset!$H253</f>
        <v>30000</v>
      </c>
      <c r="J253" s="7">
        <f>dataset!$G253*0.08</f>
        <v>8000</v>
      </c>
      <c r="K253" s="7">
        <f>dataset!$F253*12</f>
        <v>1656000</v>
      </c>
      <c r="L253" s="12">
        <f>IF(dataset!$G253&gt;=200000,38%,IF(dataset!$G253&lt;=145000,12.3%,))</f>
        <v>0.12300000000000001</v>
      </c>
      <c r="M253" s="7">
        <f>dataset!$G253*L254*12</f>
        <v>147600.00000000003</v>
      </c>
      <c r="N25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3" s="7">
        <f>dataset!$K253+dataset!$M253</f>
        <v>1803600</v>
      </c>
      <c r="P253" s="7">
        <f>Payroll_Data_Analysis[[#This Row],[Annual Salary + KPI Bonus]]/12/29.3*31</f>
        <v>159020.47781569965</v>
      </c>
      <c r="Q253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3" s="7">
        <f>Payroll_Data_Analysis[[#This Row],[Monthly Salary]]*11</f>
        <v>1518000</v>
      </c>
      <c r="S253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3" s="7">
        <f>IF(Payroll_Data_Analysis[[#This Row],[Base Salary (Monthly)]]&gt;=200000,69507,IF(Payroll_Data_Analysis[[#This Row],[Base Salary (Monthly)]]&gt;=145000,52684,35103))</f>
        <v>35103</v>
      </c>
      <c r="U253" s="7">
        <f>Payroll_Data_Analysis[[#This Row],[Annual KPI Bonus Reserve]]+Payroll_Data_Analysis[[#This Row],[Vacation Reserve]]+Payroll_Data_Analysis[[#This Row],[11-Month Salary]]</f>
        <v>1824620.4778156998</v>
      </c>
      <c r="V253" s="7">
        <f>Payroll_Data_Analysis[[#This Row],[Payroll Taxes (KPI Bonus)]]+Payroll_Data_Analysis[[#This Row],[Payroll Taxes (Vacation)]]+Payroll_Data_Analysis[[#This Row],[Payroll Taxes (Salary)]]</f>
        <v>551035.38430034136</v>
      </c>
      <c r="W253" s="13">
        <f>Payroll_Data_Analysis[[#This Row],[Total Payroll]]+Payroll_Data_Analysis[[#This Row],[Total Payroll Taxes]]</f>
        <v>2375655.8621160411</v>
      </c>
    </row>
    <row r="254" spans="1:23">
      <c r="A254" s="11" t="s">
        <v>658</v>
      </c>
      <c r="B254" s="5" t="s">
        <v>257</v>
      </c>
      <c r="C254" s="5" t="s">
        <v>726</v>
      </c>
      <c r="D254" s="28" t="str">
        <f>VLOOKUP(Payroll_Data_Analysis[[#This Row],[Position]],Position_Map!$A$2:$B$58,2,FALSE)</f>
        <v>Technical</v>
      </c>
      <c r="E254" s="6">
        <v>1</v>
      </c>
      <c r="F254" s="7">
        <v>144331</v>
      </c>
      <c r="G254" s="7">
        <v>100000</v>
      </c>
      <c r="H254" s="7"/>
      <c r="I254" s="7">
        <f>dataset!$F254-dataset!$J254-dataset!$G254-dataset!$H254</f>
        <v>36331</v>
      </c>
      <c r="J254" s="7">
        <f>dataset!$G254*0.08</f>
        <v>8000</v>
      </c>
      <c r="K254" s="7">
        <f>dataset!$F254*12</f>
        <v>1731972</v>
      </c>
      <c r="L254" s="12">
        <f>IF(dataset!$G254&gt;=200000,38%,IF(dataset!$G254&lt;=145000,12.3%,))</f>
        <v>0.12300000000000001</v>
      </c>
      <c r="M254" s="7">
        <f>dataset!$G254*L255*12</f>
        <v>147600.00000000003</v>
      </c>
      <c r="N25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4" s="7">
        <f>dataset!$K254+dataset!$M254</f>
        <v>1879572</v>
      </c>
      <c r="P254" s="7">
        <f>Payroll_Data_Analysis[[#This Row],[Annual Salary + KPI Bonus]]/12/29.3*31</f>
        <v>165718.80546075085</v>
      </c>
      <c r="Q254" s="7">
        <f>IF(Payroll_Data_Analysis[[#This Row],[Vacation Reserve]]&lt;=2979000,Payroll_Data_Analysis[[#This Row],[Vacation Reserve]]*0.302,2979000*0.302+(Payroll_Data_Analysis[[#This Row],[Vacation Reserve]]-2979000)*0.151)</f>
        <v>50047.079249146758</v>
      </c>
      <c r="R254" s="7">
        <f>Payroll_Data_Analysis[[#This Row],[Monthly Salary]]*11</f>
        <v>1587641</v>
      </c>
      <c r="S254" s="7">
        <f>IF(Payroll_Data_Analysis[[#This Row],[11-Month Salary]]&lt;=2979000,Payroll_Data_Analysis[[#This Row],[11-Month Salary]]*0.302,2979000*0.302+(Payroll_Data_Analysis[[#This Row],[11-Month Salary]]-2979000)*0.151)</f>
        <v>479467.58199999999</v>
      </c>
      <c r="T254" s="7">
        <f>IF(Payroll_Data_Analysis[[#This Row],[Base Salary (Monthly)]]&gt;=200000,69507,IF(Payroll_Data_Analysis[[#This Row],[Base Salary (Monthly)]]&gt;=145000,52684,35103))</f>
        <v>35103</v>
      </c>
      <c r="U254" s="7">
        <f>Payroll_Data_Analysis[[#This Row],[Annual KPI Bonus Reserve]]+Payroll_Data_Analysis[[#This Row],[Vacation Reserve]]+Payroll_Data_Analysis[[#This Row],[11-Month Salary]]</f>
        <v>1900959.8054607508</v>
      </c>
      <c r="V254" s="7">
        <f>Payroll_Data_Analysis[[#This Row],[Payroll Taxes (KPI Bonus)]]+Payroll_Data_Analysis[[#This Row],[Payroll Taxes (Vacation)]]+Payroll_Data_Analysis[[#This Row],[Payroll Taxes (Salary)]]</f>
        <v>574089.86124914675</v>
      </c>
      <c r="W254" s="13">
        <f>Payroll_Data_Analysis[[#This Row],[Total Payroll]]+Payroll_Data_Analysis[[#This Row],[Total Payroll Taxes]]</f>
        <v>2475049.6667098976</v>
      </c>
    </row>
    <row r="255" spans="1:23">
      <c r="A255" s="11" t="s">
        <v>658</v>
      </c>
      <c r="B255" s="5" t="s">
        <v>258</v>
      </c>
      <c r="C255" s="5" t="s">
        <v>705</v>
      </c>
      <c r="D255" s="28" t="str">
        <f>VLOOKUP(Payroll_Data_Analysis[[#This Row],[Position]],Position_Map!$A$2:$B$58,2,FALSE)</f>
        <v>Professional</v>
      </c>
      <c r="E255" s="6">
        <v>1</v>
      </c>
      <c r="F255" s="7">
        <v>138000</v>
      </c>
      <c r="G255" s="7">
        <v>100000</v>
      </c>
      <c r="H255" s="7"/>
      <c r="I255" s="7">
        <f>dataset!$F255-dataset!$J255-dataset!$G255-dataset!$H255</f>
        <v>30000</v>
      </c>
      <c r="J255" s="7">
        <f>dataset!$G255*0.08</f>
        <v>8000</v>
      </c>
      <c r="K255" s="7">
        <f>dataset!$F255*12</f>
        <v>1656000</v>
      </c>
      <c r="L255" s="12">
        <f>IF(dataset!$G255&gt;=200000,38%,IF(dataset!$G255&lt;=145000,12.3%,))</f>
        <v>0.12300000000000001</v>
      </c>
      <c r="M255" s="7">
        <f>dataset!$G255*L256*12</f>
        <v>147600.00000000003</v>
      </c>
      <c r="N25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5" s="7">
        <f>dataset!$K255+dataset!$M255</f>
        <v>1803600</v>
      </c>
      <c r="P255" s="7">
        <f>Payroll_Data_Analysis[[#This Row],[Annual Salary + KPI Bonus]]/12/29.3*31</f>
        <v>159020.47781569965</v>
      </c>
      <c r="Q255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5" s="7">
        <f>Payroll_Data_Analysis[[#This Row],[Monthly Salary]]*11</f>
        <v>1518000</v>
      </c>
      <c r="S255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5" s="7">
        <f>IF(Payroll_Data_Analysis[[#This Row],[Base Salary (Monthly)]]&gt;=200000,69507,IF(Payroll_Data_Analysis[[#This Row],[Base Salary (Monthly)]]&gt;=145000,52684,35103))</f>
        <v>35103</v>
      </c>
      <c r="U255" s="7">
        <f>Payroll_Data_Analysis[[#This Row],[Annual KPI Bonus Reserve]]+Payroll_Data_Analysis[[#This Row],[Vacation Reserve]]+Payroll_Data_Analysis[[#This Row],[11-Month Salary]]</f>
        <v>1824620.4778156998</v>
      </c>
      <c r="V255" s="7">
        <f>Payroll_Data_Analysis[[#This Row],[Payroll Taxes (KPI Bonus)]]+Payroll_Data_Analysis[[#This Row],[Payroll Taxes (Vacation)]]+Payroll_Data_Analysis[[#This Row],[Payroll Taxes (Salary)]]</f>
        <v>551035.38430034136</v>
      </c>
      <c r="W255" s="13">
        <f>Payroll_Data_Analysis[[#This Row],[Total Payroll]]+Payroll_Data_Analysis[[#This Row],[Total Payroll Taxes]]</f>
        <v>2375655.8621160411</v>
      </c>
    </row>
    <row r="256" spans="1:23">
      <c r="A256" s="11" t="s">
        <v>658</v>
      </c>
      <c r="B256" s="5" t="s">
        <v>259</v>
      </c>
      <c r="C256" s="5" t="s">
        <v>705</v>
      </c>
      <c r="D256" s="28" t="str">
        <f>VLOOKUP(Payroll_Data_Analysis[[#This Row],[Position]],Position_Map!$A$2:$B$58,2,FALSE)</f>
        <v>Professional</v>
      </c>
      <c r="E256" s="6">
        <v>1</v>
      </c>
      <c r="F256" s="7">
        <v>138000</v>
      </c>
      <c r="G256" s="7">
        <v>100000</v>
      </c>
      <c r="H256" s="7"/>
      <c r="I256" s="7">
        <f>dataset!$F256-dataset!$J256-dataset!$G256-dataset!$H256</f>
        <v>30000</v>
      </c>
      <c r="J256" s="7">
        <f>dataset!$G256*0.08</f>
        <v>8000</v>
      </c>
      <c r="K256" s="7">
        <f>dataset!$F256*12</f>
        <v>1656000</v>
      </c>
      <c r="L256" s="12">
        <f>IF(dataset!$G256&gt;=200000,38%,IF(dataset!$G256&lt;=145000,12.3%,))</f>
        <v>0.12300000000000001</v>
      </c>
      <c r="M256" s="7">
        <f>dataset!$G256*L257*12</f>
        <v>147600.00000000003</v>
      </c>
      <c r="N25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6" s="7">
        <f>dataset!$K256+dataset!$M256</f>
        <v>1803600</v>
      </c>
      <c r="P256" s="7">
        <f>Payroll_Data_Analysis[[#This Row],[Annual Salary + KPI Bonus]]/12/29.3*31</f>
        <v>159020.47781569965</v>
      </c>
      <c r="Q256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6" s="7">
        <f>Payroll_Data_Analysis[[#This Row],[Monthly Salary]]*11</f>
        <v>1518000</v>
      </c>
      <c r="S256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6" s="7">
        <f>IF(Payroll_Data_Analysis[[#This Row],[Base Salary (Monthly)]]&gt;=200000,69507,IF(Payroll_Data_Analysis[[#This Row],[Base Salary (Monthly)]]&gt;=145000,52684,35103))</f>
        <v>35103</v>
      </c>
      <c r="U256" s="7">
        <f>Payroll_Data_Analysis[[#This Row],[Annual KPI Bonus Reserve]]+Payroll_Data_Analysis[[#This Row],[Vacation Reserve]]+Payroll_Data_Analysis[[#This Row],[11-Month Salary]]</f>
        <v>1824620.4778156998</v>
      </c>
      <c r="V256" s="7">
        <f>Payroll_Data_Analysis[[#This Row],[Payroll Taxes (KPI Bonus)]]+Payroll_Data_Analysis[[#This Row],[Payroll Taxes (Vacation)]]+Payroll_Data_Analysis[[#This Row],[Payroll Taxes (Salary)]]</f>
        <v>551035.38430034136</v>
      </c>
      <c r="W256" s="13">
        <f>Payroll_Data_Analysis[[#This Row],[Total Payroll]]+Payroll_Data_Analysis[[#This Row],[Total Payroll Taxes]]</f>
        <v>2375655.8621160411</v>
      </c>
    </row>
    <row r="257" spans="1:23">
      <c r="A257" s="11" t="s">
        <v>658</v>
      </c>
      <c r="B257" s="5" t="s">
        <v>260</v>
      </c>
      <c r="C257" s="5" t="s">
        <v>705</v>
      </c>
      <c r="D257" s="28" t="str">
        <f>VLOOKUP(Payroll_Data_Analysis[[#This Row],[Position]],Position_Map!$A$2:$B$58,2,FALSE)</f>
        <v>Professional</v>
      </c>
      <c r="E257" s="6">
        <v>1</v>
      </c>
      <c r="F257" s="7">
        <v>138000</v>
      </c>
      <c r="G257" s="7">
        <v>100000</v>
      </c>
      <c r="H257" s="7"/>
      <c r="I257" s="7">
        <f>dataset!$F257-dataset!$J257-dataset!$G257-dataset!$H257</f>
        <v>30000</v>
      </c>
      <c r="J257" s="7">
        <f>dataset!$G257*0.08</f>
        <v>8000</v>
      </c>
      <c r="K257" s="7">
        <f>dataset!$F257*12</f>
        <v>1656000</v>
      </c>
      <c r="L257" s="12">
        <f>IF(dataset!$G257&gt;=200000,38%,IF(dataset!$G257&lt;=145000,12.3%,))</f>
        <v>0.12300000000000001</v>
      </c>
      <c r="M257" s="7">
        <f>dataset!$G257*L258*12</f>
        <v>147600.00000000003</v>
      </c>
      <c r="N25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7" s="7">
        <f>dataset!$K257+dataset!$M257</f>
        <v>1803600</v>
      </c>
      <c r="P257" s="7">
        <f>Payroll_Data_Analysis[[#This Row],[Annual Salary + KPI Bonus]]/12/29.3*31</f>
        <v>159020.47781569965</v>
      </c>
      <c r="Q257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7" s="7">
        <f>Payroll_Data_Analysis[[#This Row],[Monthly Salary]]*11</f>
        <v>1518000</v>
      </c>
      <c r="S257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7" s="7">
        <f>IF(Payroll_Data_Analysis[[#This Row],[Base Salary (Monthly)]]&gt;=200000,69507,IF(Payroll_Data_Analysis[[#This Row],[Base Salary (Monthly)]]&gt;=145000,52684,35103))</f>
        <v>35103</v>
      </c>
      <c r="U257" s="7">
        <f>Payroll_Data_Analysis[[#This Row],[Annual KPI Bonus Reserve]]+Payroll_Data_Analysis[[#This Row],[Vacation Reserve]]+Payroll_Data_Analysis[[#This Row],[11-Month Salary]]</f>
        <v>1824620.4778156998</v>
      </c>
      <c r="V257" s="7">
        <f>Payroll_Data_Analysis[[#This Row],[Payroll Taxes (KPI Bonus)]]+Payroll_Data_Analysis[[#This Row],[Payroll Taxes (Vacation)]]+Payroll_Data_Analysis[[#This Row],[Payroll Taxes (Salary)]]</f>
        <v>551035.38430034136</v>
      </c>
      <c r="W257" s="13">
        <f>Payroll_Data_Analysis[[#This Row],[Total Payroll]]+Payroll_Data_Analysis[[#This Row],[Total Payroll Taxes]]</f>
        <v>2375655.8621160411</v>
      </c>
    </row>
    <row r="258" spans="1:23">
      <c r="A258" s="11" t="s">
        <v>658</v>
      </c>
      <c r="B258" s="5" t="s">
        <v>261</v>
      </c>
      <c r="C258" s="5" t="s">
        <v>705</v>
      </c>
      <c r="D258" s="28" t="str">
        <f>VLOOKUP(Payroll_Data_Analysis[[#This Row],[Position]],Position_Map!$A$2:$B$58,2,FALSE)</f>
        <v>Professional</v>
      </c>
      <c r="E258" s="6">
        <v>1</v>
      </c>
      <c r="F258" s="7">
        <v>138000</v>
      </c>
      <c r="G258" s="7">
        <v>100000</v>
      </c>
      <c r="H258" s="7"/>
      <c r="I258" s="7">
        <f>dataset!$F258-dataset!$J258-dataset!$G258-dataset!$H258</f>
        <v>30000</v>
      </c>
      <c r="J258" s="7">
        <f>dataset!$G258*0.08</f>
        <v>8000</v>
      </c>
      <c r="K258" s="7">
        <f>dataset!$F258*12</f>
        <v>1656000</v>
      </c>
      <c r="L258" s="12">
        <f>IF(dataset!$G258&gt;=200000,38%,IF(dataset!$G258&lt;=145000,12.3%,))</f>
        <v>0.12300000000000001</v>
      </c>
      <c r="M258" s="7">
        <f>dataset!$G258*L259*12</f>
        <v>147600.00000000003</v>
      </c>
      <c r="N25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58" s="7">
        <f>dataset!$K258+dataset!$M258</f>
        <v>1803600</v>
      </c>
      <c r="P258" s="7">
        <f>Payroll_Data_Analysis[[#This Row],[Annual Salary + KPI Bonus]]/12/29.3*31</f>
        <v>159020.47781569965</v>
      </c>
      <c r="Q258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258" s="7">
        <f>Payroll_Data_Analysis[[#This Row],[Monthly Salary]]*11</f>
        <v>1518000</v>
      </c>
      <c r="S258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258" s="7">
        <f>IF(Payroll_Data_Analysis[[#This Row],[Base Salary (Monthly)]]&gt;=200000,69507,IF(Payroll_Data_Analysis[[#This Row],[Base Salary (Monthly)]]&gt;=145000,52684,35103))</f>
        <v>35103</v>
      </c>
      <c r="U258" s="7">
        <f>Payroll_Data_Analysis[[#This Row],[Annual KPI Bonus Reserve]]+Payroll_Data_Analysis[[#This Row],[Vacation Reserve]]+Payroll_Data_Analysis[[#This Row],[11-Month Salary]]</f>
        <v>1824620.4778156998</v>
      </c>
      <c r="V258" s="7">
        <f>Payroll_Data_Analysis[[#This Row],[Payroll Taxes (KPI Bonus)]]+Payroll_Data_Analysis[[#This Row],[Payroll Taxes (Vacation)]]+Payroll_Data_Analysis[[#This Row],[Payroll Taxes (Salary)]]</f>
        <v>551035.38430034136</v>
      </c>
      <c r="W258" s="13">
        <f>Payroll_Data_Analysis[[#This Row],[Total Payroll]]+Payroll_Data_Analysis[[#This Row],[Total Payroll Taxes]]</f>
        <v>2375655.8621160411</v>
      </c>
    </row>
    <row r="259" spans="1:23">
      <c r="A259" s="11" t="s">
        <v>659</v>
      </c>
      <c r="B259" s="5" t="s">
        <v>262</v>
      </c>
      <c r="C259" s="5" t="s">
        <v>703</v>
      </c>
      <c r="D259" s="28" t="str">
        <f>VLOOKUP(Payroll_Data_Analysis[[#This Row],[Position]],Position_Map!$A$2:$B$58,2,FALSE)</f>
        <v>Management</v>
      </c>
      <c r="E259" s="6">
        <v>1</v>
      </c>
      <c r="F259" s="7">
        <v>231600</v>
      </c>
      <c r="G259" s="7">
        <v>145000</v>
      </c>
      <c r="H259" s="7"/>
      <c r="I259" s="7">
        <f>dataset!$F259-dataset!$J259-dataset!$G259-dataset!$H259</f>
        <v>75000</v>
      </c>
      <c r="J259" s="7">
        <f>dataset!$G259*0.08</f>
        <v>11600</v>
      </c>
      <c r="K259" s="7">
        <f>dataset!$F259*12</f>
        <v>2779200</v>
      </c>
      <c r="L259" s="12">
        <f>IF(dataset!$G259&gt;=200000,38%,IF(dataset!$G259&lt;=145000,12.3%,))</f>
        <v>0.12300000000000001</v>
      </c>
      <c r="M259" s="7">
        <f>dataset!$G259*L260*12</f>
        <v>214020</v>
      </c>
      <c r="N25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59" s="7">
        <f>dataset!$K259+dataset!$M259</f>
        <v>2993220</v>
      </c>
      <c r="P259" s="7">
        <f>Payroll_Data_Analysis[[#This Row],[Annual Salary + KPI Bonus]]/12/29.3*31</f>
        <v>263907.33788395906</v>
      </c>
      <c r="Q259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259" s="7">
        <f>Payroll_Data_Analysis[[#This Row],[Monthly Salary]]*11</f>
        <v>2547600</v>
      </c>
      <c r="S259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259" s="7">
        <f>IF(Payroll_Data_Analysis[[#This Row],[Base Salary (Monthly)]]&gt;=200000,69507,IF(Payroll_Data_Analysis[[#This Row],[Base Salary (Monthly)]]&gt;=145000,52684,35103))</f>
        <v>52684</v>
      </c>
      <c r="U259" s="7">
        <f>Payroll_Data_Analysis[[#This Row],[Annual KPI Bonus Reserve]]+Payroll_Data_Analysis[[#This Row],[Vacation Reserve]]+Payroll_Data_Analysis[[#This Row],[11-Month Salary]]</f>
        <v>3025527.3378839591</v>
      </c>
      <c r="V259" s="7">
        <f>Payroll_Data_Analysis[[#This Row],[Payroll Taxes (KPI Bonus)]]+Payroll_Data_Analysis[[#This Row],[Payroll Taxes (Vacation)]]+Payroll_Data_Analysis[[#This Row],[Payroll Taxes (Salary)]]</f>
        <v>913709.25604095554</v>
      </c>
      <c r="W259" s="13">
        <f>Payroll_Data_Analysis[[#This Row],[Total Payroll]]+Payroll_Data_Analysis[[#This Row],[Total Payroll Taxes]]</f>
        <v>3939236.5939249145</v>
      </c>
    </row>
    <row r="260" spans="1:23">
      <c r="A260" s="11" t="s">
        <v>659</v>
      </c>
      <c r="B260" s="5" t="s">
        <v>263</v>
      </c>
      <c r="C260" s="5" t="s">
        <v>704</v>
      </c>
      <c r="D260" s="28" t="str">
        <f>VLOOKUP(Payroll_Data_Analysis[[#This Row],[Position]],Position_Map!$A$2:$B$58,2,FALSE)</f>
        <v>Management</v>
      </c>
      <c r="E260" s="6">
        <v>1</v>
      </c>
      <c r="F260" s="7">
        <v>186600</v>
      </c>
      <c r="G260" s="7">
        <v>145000</v>
      </c>
      <c r="H260" s="7"/>
      <c r="I260" s="7">
        <f>dataset!$F260-dataset!$J260-dataset!$G260-dataset!$H260</f>
        <v>30000</v>
      </c>
      <c r="J260" s="7">
        <f>dataset!$G260*0.08</f>
        <v>11600</v>
      </c>
      <c r="K260" s="7">
        <f>dataset!$F260*12</f>
        <v>2239200</v>
      </c>
      <c r="L260" s="12">
        <f>IF(dataset!$G260&gt;=200000,38%,IF(dataset!$G260&lt;=145000,12.3%,))</f>
        <v>0.12300000000000001</v>
      </c>
      <c r="M260" s="7">
        <f>dataset!$G260*L261*12</f>
        <v>214020</v>
      </c>
      <c r="N26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60" s="7">
        <f>dataset!$K260+dataset!$M260</f>
        <v>2453220</v>
      </c>
      <c r="P260" s="7">
        <f>Payroll_Data_Analysis[[#This Row],[Annual Salary + KPI Bonus]]/12/29.3*31</f>
        <v>216296.41638225256</v>
      </c>
      <c r="Q260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60" s="7">
        <f>Payroll_Data_Analysis[[#This Row],[Monthly Salary]]*11</f>
        <v>2052600</v>
      </c>
      <c r="S260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60" s="7">
        <f>IF(Payroll_Data_Analysis[[#This Row],[Base Salary (Monthly)]]&gt;=200000,69507,IF(Payroll_Data_Analysis[[#This Row],[Base Salary (Monthly)]]&gt;=145000,52684,35103))</f>
        <v>52684</v>
      </c>
      <c r="U260" s="7">
        <f>Payroll_Data_Analysis[[#This Row],[Annual KPI Bonus Reserve]]+Payroll_Data_Analysis[[#This Row],[Vacation Reserve]]+Payroll_Data_Analysis[[#This Row],[11-Month Salary]]</f>
        <v>2482916.4163822527</v>
      </c>
      <c r="V260" s="7">
        <f>Payroll_Data_Analysis[[#This Row],[Payroll Taxes (KPI Bonus)]]+Payroll_Data_Analysis[[#This Row],[Payroll Taxes (Vacation)]]+Payroll_Data_Analysis[[#This Row],[Payroll Taxes (Salary)]]</f>
        <v>749840.75774744025</v>
      </c>
      <c r="W260" s="13">
        <f>Payroll_Data_Analysis[[#This Row],[Total Payroll]]+Payroll_Data_Analysis[[#This Row],[Total Payroll Taxes]]</f>
        <v>3232757.1741296928</v>
      </c>
    </row>
    <row r="261" spans="1:23">
      <c r="A261" s="11" t="s">
        <v>659</v>
      </c>
      <c r="B261" s="5" t="s">
        <v>264</v>
      </c>
      <c r="C261" s="5" t="s">
        <v>708</v>
      </c>
      <c r="D261" s="28" t="str">
        <f>VLOOKUP(Payroll_Data_Analysis[[#This Row],[Position]],Position_Map!$A$2:$B$58,2,FALSE)</f>
        <v>Professional</v>
      </c>
      <c r="E261" s="6">
        <v>1</v>
      </c>
      <c r="F261" s="7">
        <v>166000</v>
      </c>
      <c r="G261" s="7">
        <v>100000</v>
      </c>
      <c r="H261" s="7"/>
      <c r="I261" s="7">
        <f>dataset!$F261-dataset!$J261-dataset!$G261-dataset!$H261</f>
        <v>58000</v>
      </c>
      <c r="J261" s="7">
        <f>dataset!$G261*0.08</f>
        <v>8000</v>
      </c>
      <c r="K261" s="7">
        <f>dataset!$F261*12</f>
        <v>1992000</v>
      </c>
      <c r="L261" s="12">
        <f>IF(dataset!$G261&gt;=200000,38%,IF(dataset!$G261&lt;=145000,12.3%,))</f>
        <v>0.12300000000000001</v>
      </c>
      <c r="M261" s="7">
        <f>dataset!$G261*L262*12</f>
        <v>147600.00000000003</v>
      </c>
      <c r="N26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1" s="7">
        <f>dataset!$K261+dataset!$M261</f>
        <v>2139600</v>
      </c>
      <c r="P261" s="7">
        <f>Payroll_Data_Analysis[[#This Row],[Annual Salary + KPI Bonus]]/12/29.3*31</f>
        <v>188645.05119453924</v>
      </c>
      <c r="Q261" s="7">
        <f>IF(Payroll_Data_Analysis[[#This Row],[Vacation Reserve]]&lt;=2979000,Payroll_Data_Analysis[[#This Row],[Vacation Reserve]]*0.302,2979000*0.302+(Payroll_Data_Analysis[[#This Row],[Vacation Reserve]]-2979000)*0.151)</f>
        <v>56970.805460750846</v>
      </c>
      <c r="R261" s="7">
        <f>Payroll_Data_Analysis[[#This Row],[Monthly Salary]]*11</f>
        <v>1826000</v>
      </c>
      <c r="S261" s="7">
        <f>IF(Payroll_Data_Analysis[[#This Row],[11-Month Salary]]&lt;=2979000,Payroll_Data_Analysis[[#This Row],[11-Month Salary]]*0.302,2979000*0.302+(Payroll_Data_Analysis[[#This Row],[11-Month Salary]]-2979000)*0.151)</f>
        <v>551452</v>
      </c>
      <c r="T261" s="7">
        <f>IF(Payroll_Data_Analysis[[#This Row],[Base Salary (Monthly)]]&gt;=200000,69507,IF(Payroll_Data_Analysis[[#This Row],[Base Salary (Monthly)]]&gt;=145000,52684,35103))</f>
        <v>35103</v>
      </c>
      <c r="U261" s="7">
        <f>Payroll_Data_Analysis[[#This Row],[Annual KPI Bonus Reserve]]+Payroll_Data_Analysis[[#This Row],[Vacation Reserve]]+Payroll_Data_Analysis[[#This Row],[11-Month Salary]]</f>
        <v>2162245.0511945393</v>
      </c>
      <c r="V261" s="7">
        <f>Payroll_Data_Analysis[[#This Row],[Payroll Taxes (KPI Bonus)]]+Payroll_Data_Analysis[[#This Row],[Payroll Taxes (Vacation)]]+Payroll_Data_Analysis[[#This Row],[Payroll Taxes (Salary)]]</f>
        <v>652998.00546075089</v>
      </c>
      <c r="W261" s="13">
        <f>Payroll_Data_Analysis[[#This Row],[Total Payroll]]+Payroll_Data_Analysis[[#This Row],[Total Payroll Taxes]]</f>
        <v>2815243.0566552901</v>
      </c>
    </row>
    <row r="262" spans="1:23">
      <c r="A262" s="11" t="s">
        <v>659</v>
      </c>
      <c r="B262" s="5" t="s">
        <v>265</v>
      </c>
      <c r="C262" s="5" t="s">
        <v>705</v>
      </c>
      <c r="D262" s="28" t="str">
        <f>VLOOKUP(Payroll_Data_Analysis[[#This Row],[Position]],Position_Map!$A$2:$B$58,2,FALSE)</f>
        <v>Professional</v>
      </c>
      <c r="E262" s="6">
        <v>1</v>
      </c>
      <c r="F262" s="7">
        <v>166000</v>
      </c>
      <c r="G262" s="7">
        <v>100000</v>
      </c>
      <c r="H262" s="7"/>
      <c r="I262" s="7">
        <f>dataset!$F262-dataset!$J262-dataset!$G262-dataset!$H262</f>
        <v>58000</v>
      </c>
      <c r="J262" s="7">
        <f>dataset!$G262*0.08</f>
        <v>8000</v>
      </c>
      <c r="K262" s="7">
        <f>dataset!$F262*12</f>
        <v>1992000</v>
      </c>
      <c r="L262" s="12">
        <f>IF(dataset!$G262&gt;=200000,38%,IF(dataset!$G262&lt;=145000,12.3%,))</f>
        <v>0.12300000000000001</v>
      </c>
      <c r="M262" s="7">
        <f>dataset!$G262*L263*12</f>
        <v>147600.00000000003</v>
      </c>
      <c r="N26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2" s="7">
        <f>dataset!$K262+dataset!$M262</f>
        <v>2139600</v>
      </c>
      <c r="P262" s="7">
        <f>Payroll_Data_Analysis[[#This Row],[Annual Salary + KPI Bonus]]/12/29.3*31</f>
        <v>188645.05119453924</v>
      </c>
      <c r="Q262" s="7">
        <f>IF(Payroll_Data_Analysis[[#This Row],[Vacation Reserve]]&lt;=2979000,Payroll_Data_Analysis[[#This Row],[Vacation Reserve]]*0.302,2979000*0.302+(Payroll_Data_Analysis[[#This Row],[Vacation Reserve]]-2979000)*0.151)</f>
        <v>56970.805460750846</v>
      </c>
      <c r="R262" s="7">
        <f>Payroll_Data_Analysis[[#This Row],[Monthly Salary]]*11</f>
        <v>1826000</v>
      </c>
      <c r="S262" s="7">
        <f>IF(Payroll_Data_Analysis[[#This Row],[11-Month Salary]]&lt;=2979000,Payroll_Data_Analysis[[#This Row],[11-Month Salary]]*0.302,2979000*0.302+(Payroll_Data_Analysis[[#This Row],[11-Month Salary]]-2979000)*0.151)</f>
        <v>551452</v>
      </c>
      <c r="T262" s="7">
        <f>IF(Payroll_Data_Analysis[[#This Row],[Base Salary (Monthly)]]&gt;=200000,69507,IF(Payroll_Data_Analysis[[#This Row],[Base Salary (Monthly)]]&gt;=145000,52684,35103))</f>
        <v>35103</v>
      </c>
      <c r="U262" s="7">
        <f>Payroll_Data_Analysis[[#This Row],[Annual KPI Bonus Reserve]]+Payroll_Data_Analysis[[#This Row],[Vacation Reserve]]+Payroll_Data_Analysis[[#This Row],[11-Month Salary]]</f>
        <v>2162245.0511945393</v>
      </c>
      <c r="V262" s="7">
        <f>Payroll_Data_Analysis[[#This Row],[Payroll Taxes (KPI Bonus)]]+Payroll_Data_Analysis[[#This Row],[Payroll Taxes (Vacation)]]+Payroll_Data_Analysis[[#This Row],[Payroll Taxes (Salary)]]</f>
        <v>652998.00546075089</v>
      </c>
      <c r="W262" s="13">
        <f>Payroll_Data_Analysis[[#This Row],[Total Payroll]]+Payroll_Data_Analysis[[#This Row],[Total Payroll Taxes]]</f>
        <v>2815243.0566552901</v>
      </c>
    </row>
    <row r="263" spans="1:23">
      <c r="A263" s="11" t="s">
        <v>659</v>
      </c>
      <c r="B263" s="5" t="s">
        <v>266</v>
      </c>
      <c r="C263" s="5" t="s">
        <v>705</v>
      </c>
      <c r="D263" s="28" t="str">
        <f>VLOOKUP(Payroll_Data_Analysis[[#This Row],[Position]],Position_Map!$A$2:$B$58,2,FALSE)</f>
        <v>Professional</v>
      </c>
      <c r="E263" s="6">
        <v>1</v>
      </c>
      <c r="F263" s="7">
        <v>166000</v>
      </c>
      <c r="G263" s="7">
        <v>100000</v>
      </c>
      <c r="H263" s="7"/>
      <c r="I263" s="7">
        <f>dataset!$F263-dataset!$J263-dataset!$G263-dataset!$H263</f>
        <v>58000</v>
      </c>
      <c r="J263" s="7">
        <f>dataset!$G263*0.08</f>
        <v>8000</v>
      </c>
      <c r="K263" s="7">
        <f>dataset!$F263*12</f>
        <v>1992000</v>
      </c>
      <c r="L263" s="12">
        <f>IF(dataset!$G263&gt;=200000,38%,IF(dataset!$G263&lt;=145000,12.3%,))</f>
        <v>0.12300000000000001</v>
      </c>
      <c r="M263" s="7">
        <f>dataset!$G263*L264*12</f>
        <v>147600.00000000003</v>
      </c>
      <c r="N26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3" s="7">
        <f>dataset!$K263+dataset!$M263</f>
        <v>2139600</v>
      </c>
      <c r="P263" s="7">
        <f>Payroll_Data_Analysis[[#This Row],[Annual Salary + KPI Bonus]]/12/29.3*31</f>
        <v>188645.05119453924</v>
      </c>
      <c r="Q263" s="7">
        <f>IF(Payroll_Data_Analysis[[#This Row],[Vacation Reserve]]&lt;=2979000,Payroll_Data_Analysis[[#This Row],[Vacation Reserve]]*0.302,2979000*0.302+(Payroll_Data_Analysis[[#This Row],[Vacation Reserve]]-2979000)*0.151)</f>
        <v>56970.805460750846</v>
      </c>
      <c r="R263" s="7">
        <f>Payroll_Data_Analysis[[#This Row],[Monthly Salary]]*11</f>
        <v>1826000</v>
      </c>
      <c r="S263" s="7">
        <f>IF(Payroll_Data_Analysis[[#This Row],[11-Month Salary]]&lt;=2979000,Payroll_Data_Analysis[[#This Row],[11-Month Salary]]*0.302,2979000*0.302+(Payroll_Data_Analysis[[#This Row],[11-Month Salary]]-2979000)*0.151)</f>
        <v>551452</v>
      </c>
      <c r="T263" s="7">
        <f>IF(Payroll_Data_Analysis[[#This Row],[Base Salary (Monthly)]]&gt;=200000,69507,IF(Payroll_Data_Analysis[[#This Row],[Base Salary (Monthly)]]&gt;=145000,52684,35103))</f>
        <v>35103</v>
      </c>
      <c r="U263" s="7">
        <f>Payroll_Data_Analysis[[#This Row],[Annual KPI Bonus Reserve]]+Payroll_Data_Analysis[[#This Row],[Vacation Reserve]]+Payroll_Data_Analysis[[#This Row],[11-Month Salary]]</f>
        <v>2162245.0511945393</v>
      </c>
      <c r="V263" s="7">
        <f>Payroll_Data_Analysis[[#This Row],[Payroll Taxes (KPI Bonus)]]+Payroll_Data_Analysis[[#This Row],[Payroll Taxes (Vacation)]]+Payroll_Data_Analysis[[#This Row],[Payroll Taxes (Salary)]]</f>
        <v>652998.00546075089</v>
      </c>
      <c r="W263" s="13">
        <f>Payroll_Data_Analysis[[#This Row],[Total Payroll]]+Payroll_Data_Analysis[[#This Row],[Total Payroll Taxes]]</f>
        <v>2815243.0566552901</v>
      </c>
    </row>
    <row r="264" spans="1:23">
      <c r="A264" s="11" t="s">
        <v>659</v>
      </c>
      <c r="B264" s="5" t="s">
        <v>267</v>
      </c>
      <c r="C264" s="5" t="s">
        <v>705</v>
      </c>
      <c r="D264" s="28" t="str">
        <f>VLOOKUP(Payroll_Data_Analysis[[#This Row],[Position]],Position_Map!$A$2:$B$58,2,FALSE)</f>
        <v>Professional</v>
      </c>
      <c r="E264" s="6">
        <v>1</v>
      </c>
      <c r="F264" s="7">
        <v>136400</v>
      </c>
      <c r="G264" s="7">
        <v>100000</v>
      </c>
      <c r="H264" s="7"/>
      <c r="I264" s="7">
        <f>dataset!$F264-dataset!$J264-dataset!$G264-dataset!$H264</f>
        <v>28400</v>
      </c>
      <c r="J264" s="7">
        <f>dataset!$G264*0.08</f>
        <v>8000</v>
      </c>
      <c r="K264" s="7">
        <f>dataset!$F264*12</f>
        <v>1636800</v>
      </c>
      <c r="L264" s="12">
        <f>IF(dataset!$G264&gt;=200000,38%,IF(dataset!$G264&lt;=145000,12.3%,))</f>
        <v>0.12300000000000001</v>
      </c>
      <c r="M264" s="7">
        <f>dataset!$G264*L265*12</f>
        <v>147600.00000000003</v>
      </c>
      <c r="N26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4" s="7">
        <f>dataset!$K264+dataset!$M264</f>
        <v>1784400</v>
      </c>
      <c r="P264" s="7">
        <f>Payroll_Data_Analysis[[#This Row],[Annual Salary + KPI Bonus]]/12/29.3*31</f>
        <v>157327.64505119453</v>
      </c>
      <c r="Q264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264" s="7">
        <f>Payroll_Data_Analysis[[#This Row],[Monthly Salary]]*11</f>
        <v>1500400</v>
      </c>
      <c r="S264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264" s="7">
        <f>IF(Payroll_Data_Analysis[[#This Row],[Base Salary (Monthly)]]&gt;=200000,69507,IF(Payroll_Data_Analysis[[#This Row],[Base Salary (Monthly)]]&gt;=145000,52684,35103))</f>
        <v>35103</v>
      </c>
      <c r="U264" s="7">
        <f>Payroll_Data_Analysis[[#This Row],[Annual KPI Bonus Reserve]]+Payroll_Data_Analysis[[#This Row],[Vacation Reserve]]+Payroll_Data_Analysis[[#This Row],[11-Month Salary]]</f>
        <v>1805327.6450511946</v>
      </c>
      <c r="V264" s="7">
        <f>Payroll_Data_Analysis[[#This Row],[Payroll Taxes (KPI Bonus)]]+Payroll_Data_Analysis[[#This Row],[Payroll Taxes (Vacation)]]+Payroll_Data_Analysis[[#This Row],[Payroll Taxes (Salary)]]</f>
        <v>545208.94880546071</v>
      </c>
      <c r="W264" s="13">
        <f>Payroll_Data_Analysis[[#This Row],[Total Payroll]]+Payroll_Data_Analysis[[#This Row],[Total Payroll Taxes]]</f>
        <v>2350536.5938566551</v>
      </c>
    </row>
    <row r="265" spans="1:23">
      <c r="A265" s="11" t="s">
        <v>659</v>
      </c>
      <c r="B265" s="5" t="s">
        <v>268</v>
      </c>
      <c r="C265" s="5" t="s">
        <v>705</v>
      </c>
      <c r="D265" s="28" t="str">
        <f>VLOOKUP(Payroll_Data_Analysis[[#This Row],[Position]],Position_Map!$A$2:$B$58,2,FALSE)</f>
        <v>Professional</v>
      </c>
      <c r="E265" s="6">
        <v>1</v>
      </c>
      <c r="F265" s="7">
        <v>136400</v>
      </c>
      <c r="G265" s="7">
        <v>100000</v>
      </c>
      <c r="H265" s="7"/>
      <c r="I265" s="7">
        <f>dataset!$F265-dataset!$J265-dataset!$G265-dataset!$H265</f>
        <v>28400</v>
      </c>
      <c r="J265" s="7">
        <f>dataset!$G265*0.08</f>
        <v>8000</v>
      </c>
      <c r="K265" s="7">
        <f>dataset!$F265*12</f>
        <v>1636800</v>
      </c>
      <c r="L265" s="12">
        <f>IF(dataset!$G265&gt;=200000,38%,IF(dataset!$G265&lt;=145000,12.3%,))</f>
        <v>0.12300000000000001</v>
      </c>
      <c r="M265" s="7">
        <f>dataset!$G265*L266*12</f>
        <v>147600.00000000003</v>
      </c>
      <c r="N26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5" s="7">
        <f>dataset!$K265+dataset!$M265</f>
        <v>1784400</v>
      </c>
      <c r="P265" s="7">
        <f>Payroll_Data_Analysis[[#This Row],[Annual Salary + KPI Bonus]]/12/29.3*31</f>
        <v>157327.64505119453</v>
      </c>
      <c r="Q265" s="7">
        <f>IF(Payroll_Data_Analysis[[#This Row],[Vacation Reserve]]&lt;=2979000,Payroll_Data_Analysis[[#This Row],[Vacation Reserve]]*0.302,2979000*0.302+(Payroll_Data_Analysis[[#This Row],[Vacation Reserve]]-2979000)*0.151)</f>
        <v>47512.94880546075</v>
      </c>
      <c r="R265" s="7">
        <f>Payroll_Data_Analysis[[#This Row],[Monthly Salary]]*11</f>
        <v>1500400</v>
      </c>
      <c r="S265" s="7">
        <f>IF(Payroll_Data_Analysis[[#This Row],[11-Month Salary]]&lt;=2979000,Payroll_Data_Analysis[[#This Row],[11-Month Salary]]*0.302,2979000*0.302+(Payroll_Data_Analysis[[#This Row],[11-Month Salary]]-2979000)*0.151)</f>
        <v>453120.8</v>
      </c>
      <c r="T265" s="7">
        <f>IF(Payroll_Data_Analysis[[#This Row],[Base Salary (Monthly)]]&gt;=200000,69507,IF(Payroll_Data_Analysis[[#This Row],[Base Salary (Monthly)]]&gt;=145000,52684,35103))</f>
        <v>35103</v>
      </c>
      <c r="U265" s="7">
        <f>Payroll_Data_Analysis[[#This Row],[Annual KPI Bonus Reserve]]+Payroll_Data_Analysis[[#This Row],[Vacation Reserve]]+Payroll_Data_Analysis[[#This Row],[11-Month Salary]]</f>
        <v>1805327.6450511946</v>
      </c>
      <c r="V265" s="7">
        <f>Payroll_Data_Analysis[[#This Row],[Payroll Taxes (KPI Bonus)]]+Payroll_Data_Analysis[[#This Row],[Payroll Taxes (Vacation)]]+Payroll_Data_Analysis[[#This Row],[Payroll Taxes (Salary)]]</f>
        <v>545208.94880546071</v>
      </c>
      <c r="W265" s="13">
        <f>Payroll_Data_Analysis[[#This Row],[Total Payroll]]+Payroll_Data_Analysis[[#This Row],[Total Payroll Taxes]]</f>
        <v>2350536.5938566551</v>
      </c>
    </row>
    <row r="266" spans="1:23">
      <c r="A266" s="11" t="s">
        <v>661</v>
      </c>
      <c r="B266" s="5" t="s">
        <v>269</v>
      </c>
      <c r="C266" s="5" t="s">
        <v>705</v>
      </c>
      <c r="D266" s="28" t="str">
        <f>VLOOKUP(Payroll_Data_Analysis[[#This Row],[Position]],Position_Map!$A$2:$B$58,2,FALSE)</f>
        <v>Professional</v>
      </c>
      <c r="E266" s="6">
        <v>1</v>
      </c>
      <c r="F266" s="7">
        <v>116400</v>
      </c>
      <c r="G266" s="7">
        <v>100000</v>
      </c>
      <c r="H266" s="7"/>
      <c r="I266" s="7">
        <f>dataset!$F266-dataset!$J266-dataset!$G266-dataset!$H266</f>
        <v>8400</v>
      </c>
      <c r="J266" s="7">
        <f>dataset!$G266*0.08</f>
        <v>8000</v>
      </c>
      <c r="K266" s="7">
        <f>dataset!$F266*12</f>
        <v>1396800</v>
      </c>
      <c r="L266" s="12">
        <f>IF(dataset!$G266&gt;=200000,38%,IF(dataset!$G266&lt;=145000,12.3%,))</f>
        <v>0.12300000000000001</v>
      </c>
      <c r="M266" s="7">
        <f>dataset!$G266*L267*12</f>
        <v>147600.00000000003</v>
      </c>
      <c r="N26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66" s="7">
        <f>dataset!$K266+dataset!$M266</f>
        <v>1544400</v>
      </c>
      <c r="P266" s="7">
        <f>Payroll_Data_Analysis[[#This Row],[Annual Salary + KPI Bonus]]/12/29.3*31</f>
        <v>136167.23549488053</v>
      </c>
      <c r="Q266" s="7">
        <f>IF(Payroll_Data_Analysis[[#This Row],[Vacation Reserve]]&lt;=2979000,Payroll_Data_Analysis[[#This Row],[Vacation Reserve]]*0.302,2979000*0.302+(Payroll_Data_Analysis[[#This Row],[Vacation Reserve]]-2979000)*0.151)</f>
        <v>41122.505119453919</v>
      </c>
      <c r="R266" s="7">
        <f>Payroll_Data_Analysis[[#This Row],[Monthly Salary]]*11</f>
        <v>1280400</v>
      </c>
      <c r="S266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266" s="7">
        <f>IF(Payroll_Data_Analysis[[#This Row],[Base Salary (Monthly)]]&gt;=200000,69507,IF(Payroll_Data_Analysis[[#This Row],[Base Salary (Monthly)]]&gt;=145000,52684,35103))</f>
        <v>35103</v>
      </c>
      <c r="U266" s="7">
        <f>Payroll_Data_Analysis[[#This Row],[Annual KPI Bonus Reserve]]+Payroll_Data_Analysis[[#This Row],[Vacation Reserve]]+Payroll_Data_Analysis[[#This Row],[11-Month Salary]]</f>
        <v>1564167.2354948805</v>
      </c>
      <c r="V266" s="7">
        <f>Payroll_Data_Analysis[[#This Row],[Payroll Taxes (KPI Bonus)]]+Payroll_Data_Analysis[[#This Row],[Payroll Taxes (Vacation)]]+Payroll_Data_Analysis[[#This Row],[Payroll Taxes (Salary)]]</f>
        <v>472378.50511945388</v>
      </c>
      <c r="W266" s="13">
        <f>Payroll_Data_Analysis[[#This Row],[Total Payroll]]+Payroll_Data_Analysis[[#This Row],[Total Payroll Taxes]]</f>
        <v>2036545.7406143344</v>
      </c>
    </row>
    <row r="267" spans="1:23">
      <c r="A267" s="11" t="s">
        <v>661</v>
      </c>
      <c r="B267" s="5" t="s">
        <v>270</v>
      </c>
      <c r="C267" s="5" t="s">
        <v>705</v>
      </c>
      <c r="D267" s="28" t="str">
        <f>VLOOKUP(Payroll_Data_Analysis[[#This Row],[Position]],Position_Map!$A$2:$B$58,2,FALSE)</f>
        <v>Professional</v>
      </c>
      <c r="E267" s="6">
        <v>1</v>
      </c>
      <c r="F267" s="7">
        <v>92600</v>
      </c>
      <c r="G267" s="7">
        <v>80000</v>
      </c>
      <c r="H267" s="7"/>
      <c r="I267" s="7">
        <f>dataset!$F267-dataset!$J267-dataset!$G267-dataset!$H267</f>
        <v>6200</v>
      </c>
      <c r="J267" s="7">
        <f>dataset!$G267*0.08</f>
        <v>6400</v>
      </c>
      <c r="K267" s="7">
        <f>dataset!$F267*12</f>
        <v>1111200</v>
      </c>
      <c r="L267" s="12">
        <f>IF(dataset!$G267&gt;=200000,38%,IF(dataset!$G267&lt;=145000,12.3%,))</f>
        <v>0.12300000000000001</v>
      </c>
      <c r="M267" s="7">
        <f>dataset!$G267*L268*12</f>
        <v>118080.00000000003</v>
      </c>
      <c r="N26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67" s="7">
        <f>dataset!$K267+dataset!$M267</f>
        <v>1229280</v>
      </c>
      <c r="P267" s="7">
        <f>Payroll_Data_Analysis[[#This Row],[Annual Salary + KPI Bonus]]/12/29.3*31</f>
        <v>108383.61774744026</v>
      </c>
      <c r="Q267" s="7">
        <f>IF(Payroll_Data_Analysis[[#This Row],[Vacation Reserve]]&lt;=2979000,Payroll_Data_Analysis[[#This Row],[Vacation Reserve]]*0.302,2979000*0.302+(Payroll_Data_Analysis[[#This Row],[Vacation Reserve]]-2979000)*0.151)</f>
        <v>32731.852559726958</v>
      </c>
      <c r="R267" s="7">
        <f>Payroll_Data_Analysis[[#This Row],[Monthly Salary]]*11</f>
        <v>1018600</v>
      </c>
      <c r="S267" s="7">
        <f>IF(Payroll_Data_Analysis[[#This Row],[11-Month Salary]]&lt;=2979000,Payroll_Data_Analysis[[#This Row],[11-Month Salary]]*0.302,2979000*0.302+(Payroll_Data_Analysis[[#This Row],[11-Month Salary]]-2979000)*0.151)</f>
        <v>307617.2</v>
      </c>
      <c r="T267" s="7">
        <f>IF(Payroll_Data_Analysis[[#This Row],[Base Salary (Monthly)]]&gt;=200000,69507,IF(Payroll_Data_Analysis[[#This Row],[Base Salary (Monthly)]]&gt;=145000,52684,35103))</f>
        <v>35103</v>
      </c>
      <c r="U267" s="7">
        <f>Payroll_Data_Analysis[[#This Row],[Annual KPI Bonus Reserve]]+Payroll_Data_Analysis[[#This Row],[Vacation Reserve]]+Payroll_Data_Analysis[[#This Row],[11-Month Salary]]</f>
        <v>1245063.6177474402</v>
      </c>
      <c r="V267" s="7">
        <f>Payroll_Data_Analysis[[#This Row],[Payroll Taxes (KPI Bonus)]]+Payroll_Data_Analysis[[#This Row],[Payroll Taxes (Vacation)]]+Payroll_Data_Analysis[[#This Row],[Payroll Taxes (Salary)]]</f>
        <v>376009.21255972696</v>
      </c>
      <c r="W267" s="13">
        <f>Payroll_Data_Analysis[[#This Row],[Total Payroll]]+Payroll_Data_Analysis[[#This Row],[Total Payroll Taxes]]</f>
        <v>1621072.8303071673</v>
      </c>
    </row>
    <row r="268" spans="1:23">
      <c r="A268" s="11" t="s">
        <v>661</v>
      </c>
      <c r="B268" s="5" t="s">
        <v>271</v>
      </c>
      <c r="C268" s="5" t="s">
        <v>705</v>
      </c>
      <c r="D268" s="28" t="str">
        <f>VLOOKUP(Payroll_Data_Analysis[[#This Row],[Position]],Position_Map!$A$2:$B$58,2,FALSE)</f>
        <v>Professional</v>
      </c>
      <c r="E268" s="6">
        <v>1</v>
      </c>
      <c r="F268" s="7">
        <v>92600</v>
      </c>
      <c r="G268" s="7">
        <v>80000</v>
      </c>
      <c r="H268" s="7"/>
      <c r="I268" s="7">
        <f>dataset!$F268-dataset!$J268-dataset!$G268-dataset!$H268</f>
        <v>6200</v>
      </c>
      <c r="J268" s="7">
        <f>dataset!$G268*0.08</f>
        <v>6400</v>
      </c>
      <c r="K268" s="7">
        <f>dataset!$F268*12</f>
        <v>1111200</v>
      </c>
      <c r="L268" s="12">
        <f>IF(dataset!$G268&gt;=200000,38%,IF(dataset!$G268&lt;=145000,12.3%,))</f>
        <v>0.12300000000000001</v>
      </c>
      <c r="M268" s="7">
        <f>dataset!$G268*L269*12</f>
        <v>118080.00000000003</v>
      </c>
      <c r="N26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68" s="7">
        <f>dataset!$K268+dataset!$M268</f>
        <v>1229280</v>
      </c>
      <c r="P268" s="7">
        <f>Payroll_Data_Analysis[[#This Row],[Annual Salary + KPI Bonus]]/12/29.3*31</f>
        <v>108383.61774744026</v>
      </c>
      <c r="Q268" s="7">
        <f>IF(Payroll_Data_Analysis[[#This Row],[Vacation Reserve]]&lt;=2979000,Payroll_Data_Analysis[[#This Row],[Vacation Reserve]]*0.302,2979000*0.302+(Payroll_Data_Analysis[[#This Row],[Vacation Reserve]]-2979000)*0.151)</f>
        <v>32731.852559726958</v>
      </c>
      <c r="R268" s="7">
        <f>Payroll_Data_Analysis[[#This Row],[Monthly Salary]]*11</f>
        <v>1018600</v>
      </c>
      <c r="S268" s="7">
        <f>IF(Payroll_Data_Analysis[[#This Row],[11-Month Salary]]&lt;=2979000,Payroll_Data_Analysis[[#This Row],[11-Month Salary]]*0.302,2979000*0.302+(Payroll_Data_Analysis[[#This Row],[11-Month Salary]]-2979000)*0.151)</f>
        <v>307617.2</v>
      </c>
      <c r="T268" s="7">
        <f>IF(Payroll_Data_Analysis[[#This Row],[Base Salary (Monthly)]]&gt;=200000,69507,IF(Payroll_Data_Analysis[[#This Row],[Base Salary (Monthly)]]&gt;=145000,52684,35103))</f>
        <v>35103</v>
      </c>
      <c r="U268" s="7">
        <f>Payroll_Data_Analysis[[#This Row],[Annual KPI Bonus Reserve]]+Payroll_Data_Analysis[[#This Row],[Vacation Reserve]]+Payroll_Data_Analysis[[#This Row],[11-Month Salary]]</f>
        <v>1245063.6177474402</v>
      </c>
      <c r="V268" s="7">
        <f>Payroll_Data_Analysis[[#This Row],[Payroll Taxes (KPI Bonus)]]+Payroll_Data_Analysis[[#This Row],[Payroll Taxes (Vacation)]]+Payroll_Data_Analysis[[#This Row],[Payroll Taxes (Salary)]]</f>
        <v>376009.21255972696</v>
      </c>
      <c r="W268" s="13">
        <f>Payroll_Data_Analysis[[#This Row],[Total Payroll]]+Payroll_Data_Analysis[[#This Row],[Total Payroll Taxes]]</f>
        <v>1621072.8303071673</v>
      </c>
    </row>
    <row r="269" spans="1:23">
      <c r="A269" s="11" t="s">
        <v>661</v>
      </c>
      <c r="B269" s="5" t="s">
        <v>272</v>
      </c>
      <c r="C269" s="5" t="s">
        <v>718</v>
      </c>
      <c r="D269" s="28" t="str">
        <f>VLOOKUP(Payroll_Data_Analysis[[#This Row],[Position]],Position_Map!$A$2:$B$58,2,FALSE)</f>
        <v>Technical</v>
      </c>
      <c r="E269" s="6">
        <v>1</v>
      </c>
      <c r="F269" s="7">
        <v>96400</v>
      </c>
      <c r="G269" s="7">
        <v>80000</v>
      </c>
      <c r="H269" s="7"/>
      <c r="I269" s="7">
        <f>dataset!$F269-dataset!$J269-dataset!$G269-dataset!$H269</f>
        <v>10000</v>
      </c>
      <c r="J269" s="7">
        <f>dataset!$G269*0.08</f>
        <v>6400</v>
      </c>
      <c r="K269" s="7">
        <f>dataset!$F269*12</f>
        <v>1156800</v>
      </c>
      <c r="L269" s="12">
        <f>IF(dataset!$G269&gt;=200000,38%,IF(dataset!$G269&lt;=145000,12.3%,))</f>
        <v>0.12300000000000001</v>
      </c>
      <c r="M269" s="7">
        <f>dataset!$G269*L270*12</f>
        <v>118080.00000000003</v>
      </c>
      <c r="N269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69" s="7">
        <f>dataset!$K269+dataset!$M269</f>
        <v>1274880</v>
      </c>
      <c r="P269" s="7">
        <f>Payroll_Data_Analysis[[#This Row],[Annual Salary + KPI Bonus]]/12/29.3*31</f>
        <v>112404.09556313993</v>
      </c>
      <c r="Q269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269" s="7">
        <f>Payroll_Data_Analysis[[#This Row],[Monthly Salary]]*11</f>
        <v>1060400</v>
      </c>
      <c r="S269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269" s="7">
        <f>IF(Payroll_Data_Analysis[[#This Row],[Base Salary (Monthly)]]&gt;=200000,69507,IF(Payroll_Data_Analysis[[#This Row],[Base Salary (Monthly)]]&gt;=145000,52684,35103))</f>
        <v>35103</v>
      </c>
      <c r="U269" s="7">
        <f>Payroll_Data_Analysis[[#This Row],[Annual KPI Bonus Reserve]]+Payroll_Data_Analysis[[#This Row],[Vacation Reserve]]+Payroll_Data_Analysis[[#This Row],[11-Month Salary]]</f>
        <v>1290884.09556314</v>
      </c>
      <c r="V269" s="7">
        <f>Payroll_Data_Analysis[[#This Row],[Payroll Taxes (KPI Bonus)]]+Payroll_Data_Analysis[[#This Row],[Payroll Taxes (Vacation)]]+Payroll_Data_Analysis[[#This Row],[Payroll Taxes (Salary)]]</f>
        <v>389846.99686006829</v>
      </c>
      <c r="W269" s="13">
        <f>Payroll_Data_Analysis[[#This Row],[Total Payroll]]+Payroll_Data_Analysis[[#This Row],[Total Payroll Taxes]]</f>
        <v>1680731.0924232083</v>
      </c>
    </row>
    <row r="270" spans="1:23">
      <c r="A270" s="11" t="s">
        <v>661</v>
      </c>
      <c r="B270" s="5" t="s">
        <v>273</v>
      </c>
      <c r="C270" s="5" t="s">
        <v>726</v>
      </c>
      <c r="D270" s="28" t="str">
        <f>VLOOKUP(Payroll_Data_Analysis[[#This Row],[Position]],Position_Map!$A$2:$B$58,2,FALSE)</f>
        <v>Technical</v>
      </c>
      <c r="E270" s="6">
        <v>1</v>
      </c>
      <c r="F270" s="7">
        <v>104800</v>
      </c>
      <c r="G270" s="7">
        <v>80000</v>
      </c>
      <c r="H270" s="7"/>
      <c r="I270" s="7">
        <f>dataset!$F270-dataset!$J270-dataset!$G270-dataset!$H270</f>
        <v>18400</v>
      </c>
      <c r="J270" s="7">
        <f>dataset!$G270*0.08</f>
        <v>6400</v>
      </c>
      <c r="K270" s="7">
        <f>dataset!$F270*12</f>
        <v>1257600</v>
      </c>
      <c r="L270" s="12">
        <f>IF(dataset!$G270&gt;=200000,38%,IF(dataset!$G270&lt;=145000,12.3%,))</f>
        <v>0.12300000000000001</v>
      </c>
      <c r="M270" s="7">
        <f>dataset!$G270*L271*12</f>
        <v>118080.00000000003</v>
      </c>
      <c r="N270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70" s="7">
        <f>dataset!$K270+dataset!$M270</f>
        <v>1375680</v>
      </c>
      <c r="P270" s="7">
        <f>Payroll_Data_Analysis[[#This Row],[Annual Salary + KPI Bonus]]/12/29.3*31</f>
        <v>121291.46757679181</v>
      </c>
      <c r="Q270" s="7">
        <f>IF(Payroll_Data_Analysis[[#This Row],[Vacation Reserve]]&lt;=2979000,Payroll_Data_Analysis[[#This Row],[Vacation Reserve]]*0.302,2979000*0.302+(Payroll_Data_Analysis[[#This Row],[Vacation Reserve]]-2979000)*0.151)</f>
        <v>36630.023208191124</v>
      </c>
      <c r="R270" s="7">
        <f>Payroll_Data_Analysis[[#This Row],[Monthly Salary]]*11</f>
        <v>1152800</v>
      </c>
      <c r="S270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270" s="7">
        <f>IF(Payroll_Data_Analysis[[#This Row],[Base Salary (Monthly)]]&gt;=200000,69507,IF(Payroll_Data_Analysis[[#This Row],[Base Salary (Monthly)]]&gt;=145000,52684,35103))</f>
        <v>35103</v>
      </c>
      <c r="U270" s="7">
        <f>Payroll_Data_Analysis[[#This Row],[Annual KPI Bonus Reserve]]+Payroll_Data_Analysis[[#This Row],[Vacation Reserve]]+Payroll_Data_Analysis[[#This Row],[11-Month Salary]]</f>
        <v>1392171.4675767918</v>
      </c>
      <c r="V270" s="7">
        <f>Payroll_Data_Analysis[[#This Row],[Payroll Taxes (KPI Bonus)]]+Payroll_Data_Analysis[[#This Row],[Payroll Taxes (Vacation)]]+Payroll_Data_Analysis[[#This Row],[Payroll Taxes (Salary)]]</f>
        <v>420435.7832081911</v>
      </c>
      <c r="W270" s="13">
        <f>Payroll_Data_Analysis[[#This Row],[Total Payroll]]+Payroll_Data_Analysis[[#This Row],[Total Payroll Taxes]]</f>
        <v>1812607.2507849829</v>
      </c>
    </row>
    <row r="271" spans="1:23">
      <c r="A271" s="11" t="s">
        <v>661</v>
      </c>
      <c r="B271" s="5" t="s">
        <v>274</v>
      </c>
      <c r="C271" s="5" t="s">
        <v>720</v>
      </c>
      <c r="D271" s="28" t="str">
        <f>VLOOKUP(Payroll_Data_Analysis[[#This Row],[Position]],Position_Map!$A$2:$B$58,2,FALSE)</f>
        <v>Technical</v>
      </c>
      <c r="E271" s="6">
        <v>1</v>
      </c>
      <c r="F271" s="7">
        <v>96400</v>
      </c>
      <c r="G271" s="7">
        <v>80000</v>
      </c>
      <c r="H271" s="7"/>
      <c r="I271" s="7">
        <f>dataset!$F271-dataset!$J271-dataset!$G271-dataset!$H271</f>
        <v>10000</v>
      </c>
      <c r="J271" s="7">
        <f>dataset!$G271*0.08</f>
        <v>6400</v>
      </c>
      <c r="K271" s="7">
        <f>dataset!$F271*12</f>
        <v>1156800</v>
      </c>
      <c r="L271" s="12">
        <f>IF(dataset!$G271&gt;=200000,38%,IF(dataset!$G271&lt;=145000,12.3%,))</f>
        <v>0.12300000000000001</v>
      </c>
      <c r="M271" s="7">
        <f>dataset!$G271*L272*12</f>
        <v>118080.00000000003</v>
      </c>
      <c r="N271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271" s="7">
        <f>dataset!$K271+dataset!$M271</f>
        <v>1274880</v>
      </c>
      <c r="P271" s="7">
        <f>Payroll_Data_Analysis[[#This Row],[Annual Salary + KPI Bonus]]/12/29.3*31</f>
        <v>112404.09556313993</v>
      </c>
      <c r="Q271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271" s="7">
        <f>Payroll_Data_Analysis[[#This Row],[Monthly Salary]]*11</f>
        <v>1060400</v>
      </c>
      <c r="S271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271" s="7">
        <f>IF(Payroll_Data_Analysis[[#This Row],[Base Salary (Monthly)]]&gt;=200000,69507,IF(Payroll_Data_Analysis[[#This Row],[Base Salary (Monthly)]]&gt;=145000,52684,35103))</f>
        <v>35103</v>
      </c>
      <c r="U271" s="7">
        <f>Payroll_Data_Analysis[[#This Row],[Annual KPI Bonus Reserve]]+Payroll_Data_Analysis[[#This Row],[Vacation Reserve]]+Payroll_Data_Analysis[[#This Row],[11-Month Salary]]</f>
        <v>1290884.09556314</v>
      </c>
      <c r="V271" s="7">
        <f>Payroll_Data_Analysis[[#This Row],[Payroll Taxes (KPI Bonus)]]+Payroll_Data_Analysis[[#This Row],[Payroll Taxes (Vacation)]]+Payroll_Data_Analysis[[#This Row],[Payroll Taxes (Salary)]]</f>
        <v>389846.99686006829</v>
      </c>
      <c r="W271" s="13">
        <f>Payroll_Data_Analysis[[#This Row],[Total Payroll]]+Payroll_Data_Analysis[[#This Row],[Total Payroll Taxes]]</f>
        <v>1680731.0924232083</v>
      </c>
    </row>
    <row r="272" spans="1:23">
      <c r="A272" s="11" t="s">
        <v>661</v>
      </c>
      <c r="B272" s="5" t="s">
        <v>275</v>
      </c>
      <c r="C272" s="5" t="s">
        <v>705</v>
      </c>
      <c r="D272" s="28" t="str">
        <f>VLOOKUP(Payroll_Data_Analysis[[#This Row],[Position]],Position_Map!$A$2:$B$58,2,FALSE)</f>
        <v>Professional</v>
      </c>
      <c r="E272" s="6">
        <v>1</v>
      </c>
      <c r="F272" s="7">
        <v>46000</v>
      </c>
      <c r="G272" s="7">
        <v>30000</v>
      </c>
      <c r="H272" s="7"/>
      <c r="I272" s="7">
        <f>dataset!$F272-dataset!$J272-dataset!$G272-dataset!$H272</f>
        <v>13600</v>
      </c>
      <c r="J272" s="7">
        <f>dataset!$G272*0.08</f>
        <v>2400</v>
      </c>
      <c r="K272" s="7">
        <f>dataset!$F272*12</f>
        <v>552000</v>
      </c>
      <c r="L272" s="12">
        <f>IF(dataset!$G272&gt;=200000,38%,IF(dataset!$G272&lt;=145000,12.3%,))</f>
        <v>0.12300000000000001</v>
      </c>
      <c r="M272" s="7">
        <f>dataset!$G272*L273*12</f>
        <v>44280.000000000007</v>
      </c>
      <c r="N272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2" s="7">
        <f>dataset!$K272+dataset!$M272</f>
        <v>596280</v>
      </c>
      <c r="P272" s="7">
        <f>Payroll_Data_Analysis[[#This Row],[Annual Salary + KPI Bonus]]/12/29.3*31</f>
        <v>52573.037542662118</v>
      </c>
      <c r="Q272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2" s="7">
        <f>Payroll_Data_Analysis[[#This Row],[Monthly Salary]]*11</f>
        <v>506000</v>
      </c>
      <c r="S27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2" s="7">
        <f>IF(Payroll_Data_Analysis[[#This Row],[Base Salary (Monthly)]]&gt;=200000,69507,IF(Payroll_Data_Analysis[[#This Row],[Base Salary (Monthly)]]&gt;=145000,52684,35103))</f>
        <v>35103</v>
      </c>
      <c r="U272" s="7">
        <f>Payroll_Data_Analysis[[#This Row],[Annual KPI Bonus Reserve]]+Payroll_Data_Analysis[[#This Row],[Vacation Reserve]]+Payroll_Data_Analysis[[#This Row],[11-Month Salary]]</f>
        <v>602853.03754266212</v>
      </c>
      <c r="V272" s="7">
        <f>Payroll_Data_Analysis[[#This Row],[Payroll Taxes (KPI Bonus)]]+Payroll_Data_Analysis[[#This Row],[Payroll Taxes (Vacation)]]+Payroll_Data_Analysis[[#This Row],[Payroll Taxes (Salary)]]</f>
        <v>182061.61733788397</v>
      </c>
      <c r="W272" s="13">
        <f>Payroll_Data_Analysis[[#This Row],[Total Payroll]]+Payroll_Data_Analysis[[#This Row],[Total Payroll Taxes]]</f>
        <v>784914.65488054603</v>
      </c>
    </row>
    <row r="273" spans="1:23">
      <c r="A273" s="11" t="s">
        <v>661</v>
      </c>
      <c r="B273" s="5" t="s">
        <v>276</v>
      </c>
      <c r="C273" s="5" t="s">
        <v>705</v>
      </c>
      <c r="D273" s="28" t="str">
        <f>VLOOKUP(Payroll_Data_Analysis[[#This Row],[Position]],Position_Map!$A$2:$B$58,2,FALSE)</f>
        <v>Professional</v>
      </c>
      <c r="E273" s="6">
        <v>1</v>
      </c>
      <c r="F273" s="7">
        <v>46000</v>
      </c>
      <c r="G273" s="7">
        <v>30000</v>
      </c>
      <c r="H273" s="7"/>
      <c r="I273" s="7">
        <f>dataset!$F273-dataset!$J273-dataset!$G273-dataset!$H273</f>
        <v>13600</v>
      </c>
      <c r="J273" s="7">
        <f>dataset!$G273*0.08</f>
        <v>2400</v>
      </c>
      <c r="K273" s="7">
        <f>dataset!$F273*12</f>
        <v>552000</v>
      </c>
      <c r="L273" s="12">
        <f>IF(dataset!$G273&gt;=200000,38%,IF(dataset!$G273&lt;=145000,12.3%,))</f>
        <v>0.12300000000000001</v>
      </c>
      <c r="M273" s="7">
        <f>dataset!$G273*L274*12</f>
        <v>44280.000000000007</v>
      </c>
      <c r="N273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3" s="7">
        <f>dataset!$K273+dataset!$M273</f>
        <v>596280</v>
      </c>
      <c r="P273" s="7">
        <f>Payroll_Data_Analysis[[#This Row],[Annual Salary + KPI Bonus]]/12/29.3*31</f>
        <v>52573.037542662118</v>
      </c>
      <c r="Q273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3" s="7">
        <f>Payroll_Data_Analysis[[#This Row],[Monthly Salary]]*11</f>
        <v>506000</v>
      </c>
      <c r="S273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3" s="7">
        <f>IF(Payroll_Data_Analysis[[#This Row],[Base Salary (Monthly)]]&gt;=200000,69507,IF(Payroll_Data_Analysis[[#This Row],[Base Salary (Monthly)]]&gt;=145000,52684,35103))</f>
        <v>35103</v>
      </c>
      <c r="U273" s="7">
        <f>Payroll_Data_Analysis[[#This Row],[Annual KPI Bonus Reserve]]+Payroll_Data_Analysis[[#This Row],[Vacation Reserve]]+Payroll_Data_Analysis[[#This Row],[11-Month Salary]]</f>
        <v>602853.03754266212</v>
      </c>
      <c r="V273" s="7">
        <f>Payroll_Data_Analysis[[#This Row],[Payroll Taxes (KPI Bonus)]]+Payroll_Data_Analysis[[#This Row],[Payroll Taxes (Vacation)]]+Payroll_Data_Analysis[[#This Row],[Payroll Taxes (Salary)]]</f>
        <v>182061.61733788397</v>
      </c>
      <c r="W273" s="13">
        <f>Payroll_Data_Analysis[[#This Row],[Total Payroll]]+Payroll_Data_Analysis[[#This Row],[Total Payroll Taxes]]</f>
        <v>784914.65488054603</v>
      </c>
    </row>
    <row r="274" spans="1:23">
      <c r="A274" s="11" t="s">
        <v>661</v>
      </c>
      <c r="B274" s="5" t="s">
        <v>277</v>
      </c>
      <c r="C274" s="5" t="s">
        <v>705</v>
      </c>
      <c r="D274" s="28" t="str">
        <f>VLOOKUP(Payroll_Data_Analysis[[#This Row],[Position]],Position_Map!$A$2:$B$58,2,FALSE)</f>
        <v>Professional</v>
      </c>
      <c r="E274" s="6">
        <v>1</v>
      </c>
      <c r="F274" s="7">
        <v>46000</v>
      </c>
      <c r="G274" s="7">
        <v>30000</v>
      </c>
      <c r="H274" s="7"/>
      <c r="I274" s="7">
        <f>dataset!$F274-dataset!$J274-dataset!$G274-dataset!$H274</f>
        <v>13600</v>
      </c>
      <c r="J274" s="7">
        <f>dataset!$G274*0.08</f>
        <v>2400</v>
      </c>
      <c r="K274" s="7">
        <f>dataset!$F274*12</f>
        <v>552000</v>
      </c>
      <c r="L274" s="12">
        <f>IF(dataset!$G274&gt;=200000,38%,IF(dataset!$G274&lt;=145000,12.3%,))</f>
        <v>0.12300000000000001</v>
      </c>
      <c r="M274" s="7">
        <f>dataset!$G274*L275*12</f>
        <v>44280.000000000007</v>
      </c>
      <c r="N274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4" s="7">
        <f>dataset!$K274+dataset!$M274</f>
        <v>596280</v>
      </c>
      <c r="P274" s="7">
        <f>Payroll_Data_Analysis[[#This Row],[Annual Salary + KPI Bonus]]/12/29.3*31</f>
        <v>52573.037542662118</v>
      </c>
      <c r="Q274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4" s="7">
        <f>Payroll_Data_Analysis[[#This Row],[Monthly Salary]]*11</f>
        <v>506000</v>
      </c>
      <c r="S27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4" s="7">
        <f>IF(Payroll_Data_Analysis[[#This Row],[Base Salary (Monthly)]]&gt;=200000,69507,IF(Payroll_Data_Analysis[[#This Row],[Base Salary (Monthly)]]&gt;=145000,52684,35103))</f>
        <v>35103</v>
      </c>
      <c r="U274" s="7">
        <f>Payroll_Data_Analysis[[#This Row],[Annual KPI Bonus Reserve]]+Payroll_Data_Analysis[[#This Row],[Vacation Reserve]]+Payroll_Data_Analysis[[#This Row],[11-Month Salary]]</f>
        <v>602853.03754266212</v>
      </c>
      <c r="V274" s="7">
        <f>Payroll_Data_Analysis[[#This Row],[Payroll Taxes (KPI Bonus)]]+Payroll_Data_Analysis[[#This Row],[Payroll Taxes (Vacation)]]+Payroll_Data_Analysis[[#This Row],[Payroll Taxes (Salary)]]</f>
        <v>182061.61733788397</v>
      </c>
      <c r="W274" s="13">
        <f>Payroll_Data_Analysis[[#This Row],[Total Payroll]]+Payroll_Data_Analysis[[#This Row],[Total Payroll Taxes]]</f>
        <v>784914.65488054603</v>
      </c>
    </row>
    <row r="275" spans="1:23">
      <c r="A275" s="11" t="s">
        <v>661</v>
      </c>
      <c r="B275" s="5" t="s">
        <v>278</v>
      </c>
      <c r="C275" s="5" t="s">
        <v>705</v>
      </c>
      <c r="D275" s="28" t="str">
        <f>VLOOKUP(Payroll_Data_Analysis[[#This Row],[Position]],Position_Map!$A$2:$B$58,2,FALSE)</f>
        <v>Professional</v>
      </c>
      <c r="E275" s="6">
        <v>1</v>
      </c>
      <c r="F275" s="7">
        <v>46000</v>
      </c>
      <c r="G275" s="7">
        <v>30000</v>
      </c>
      <c r="H275" s="7"/>
      <c r="I275" s="7">
        <f>dataset!$F275-dataset!$J275-dataset!$G275-dataset!$H275</f>
        <v>13600</v>
      </c>
      <c r="J275" s="7">
        <f>dataset!$G275*0.08</f>
        <v>2400</v>
      </c>
      <c r="K275" s="7">
        <f>dataset!$F275*12</f>
        <v>552000</v>
      </c>
      <c r="L275" s="12">
        <f>IF(dataset!$G275&gt;=200000,38%,IF(dataset!$G275&lt;=145000,12.3%,))</f>
        <v>0.12300000000000001</v>
      </c>
      <c r="M275" s="7">
        <f>dataset!$G275*L276*12</f>
        <v>44280.000000000007</v>
      </c>
      <c r="N275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5" s="7">
        <f>dataset!$K275+dataset!$M275</f>
        <v>596280</v>
      </c>
      <c r="P275" s="7">
        <f>Payroll_Data_Analysis[[#This Row],[Annual Salary + KPI Bonus]]/12/29.3*31</f>
        <v>52573.037542662118</v>
      </c>
      <c r="Q275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5" s="7">
        <f>Payroll_Data_Analysis[[#This Row],[Monthly Salary]]*11</f>
        <v>506000</v>
      </c>
      <c r="S27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5" s="7">
        <f>IF(Payroll_Data_Analysis[[#This Row],[Base Salary (Monthly)]]&gt;=200000,69507,IF(Payroll_Data_Analysis[[#This Row],[Base Salary (Monthly)]]&gt;=145000,52684,35103))</f>
        <v>35103</v>
      </c>
      <c r="U275" s="7">
        <f>Payroll_Data_Analysis[[#This Row],[Annual KPI Bonus Reserve]]+Payroll_Data_Analysis[[#This Row],[Vacation Reserve]]+Payroll_Data_Analysis[[#This Row],[11-Month Salary]]</f>
        <v>602853.03754266212</v>
      </c>
      <c r="V275" s="7">
        <f>Payroll_Data_Analysis[[#This Row],[Payroll Taxes (KPI Bonus)]]+Payroll_Data_Analysis[[#This Row],[Payroll Taxes (Vacation)]]+Payroll_Data_Analysis[[#This Row],[Payroll Taxes (Salary)]]</f>
        <v>182061.61733788397</v>
      </c>
      <c r="W275" s="13">
        <f>Payroll_Data_Analysis[[#This Row],[Total Payroll]]+Payroll_Data_Analysis[[#This Row],[Total Payroll Taxes]]</f>
        <v>784914.65488054603</v>
      </c>
    </row>
    <row r="276" spans="1:23">
      <c r="A276" s="11" t="s">
        <v>661</v>
      </c>
      <c r="B276" s="5" t="s">
        <v>279</v>
      </c>
      <c r="C276" s="5" t="s">
        <v>705</v>
      </c>
      <c r="D276" s="28" t="str">
        <f>VLOOKUP(Payroll_Data_Analysis[[#This Row],[Position]],Position_Map!$A$2:$B$58,2,FALSE)</f>
        <v>Professional</v>
      </c>
      <c r="E276" s="6">
        <v>1</v>
      </c>
      <c r="F276" s="7">
        <v>46000</v>
      </c>
      <c r="G276" s="7">
        <v>30000</v>
      </c>
      <c r="H276" s="7"/>
      <c r="I276" s="7">
        <f>dataset!$F276-dataset!$J276-dataset!$G276-dataset!$H276</f>
        <v>13600</v>
      </c>
      <c r="J276" s="7">
        <f>dataset!$G276*0.08</f>
        <v>2400</v>
      </c>
      <c r="K276" s="7">
        <f>dataset!$F276*12</f>
        <v>552000</v>
      </c>
      <c r="L276" s="12">
        <f>IF(dataset!$G276&gt;=200000,38%,IF(dataset!$G276&lt;=145000,12.3%,))</f>
        <v>0.12300000000000001</v>
      </c>
      <c r="M276" s="7">
        <f>dataset!$G276*L277*12</f>
        <v>44280.000000000007</v>
      </c>
      <c r="N276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6" s="7">
        <f>dataset!$K276+dataset!$M276</f>
        <v>596280</v>
      </c>
      <c r="P276" s="7">
        <f>Payroll_Data_Analysis[[#This Row],[Annual Salary + KPI Bonus]]/12/29.3*31</f>
        <v>52573.037542662118</v>
      </c>
      <c r="Q276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6" s="7">
        <f>Payroll_Data_Analysis[[#This Row],[Monthly Salary]]*11</f>
        <v>506000</v>
      </c>
      <c r="S27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6" s="7">
        <f>IF(Payroll_Data_Analysis[[#This Row],[Base Salary (Monthly)]]&gt;=200000,69507,IF(Payroll_Data_Analysis[[#This Row],[Base Salary (Monthly)]]&gt;=145000,52684,35103))</f>
        <v>35103</v>
      </c>
      <c r="U276" s="7">
        <f>Payroll_Data_Analysis[[#This Row],[Annual KPI Bonus Reserve]]+Payroll_Data_Analysis[[#This Row],[Vacation Reserve]]+Payroll_Data_Analysis[[#This Row],[11-Month Salary]]</f>
        <v>602853.03754266212</v>
      </c>
      <c r="V276" s="7">
        <f>Payroll_Data_Analysis[[#This Row],[Payroll Taxes (KPI Bonus)]]+Payroll_Data_Analysis[[#This Row],[Payroll Taxes (Vacation)]]+Payroll_Data_Analysis[[#This Row],[Payroll Taxes (Salary)]]</f>
        <v>182061.61733788397</v>
      </c>
      <c r="W276" s="13">
        <f>Payroll_Data_Analysis[[#This Row],[Total Payroll]]+Payroll_Data_Analysis[[#This Row],[Total Payroll Taxes]]</f>
        <v>784914.65488054603</v>
      </c>
    </row>
    <row r="277" spans="1:23">
      <c r="A277" s="11" t="s">
        <v>661</v>
      </c>
      <c r="B277" s="5" t="s">
        <v>280</v>
      </c>
      <c r="C277" s="5" t="s">
        <v>705</v>
      </c>
      <c r="D277" s="28" t="str">
        <f>VLOOKUP(Payroll_Data_Analysis[[#This Row],[Position]],Position_Map!$A$2:$B$58,2,FALSE)</f>
        <v>Professional</v>
      </c>
      <c r="E277" s="6">
        <v>1</v>
      </c>
      <c r="F277" s="7">
        <v>46000</v>
      </c>
      <c r="G277" s="7">
        <v>30000</v>
      </c>
      <c r="H277" s="7"/>
      <c r="I277" s="7">
        <f>dataset!$F277-dataset!$J277-dataset!$G277-dataset!$H277</f>
        <v>13600</v>
      </c>
      <c r="J277" s="7">
        <f>dataset!$G277*0.08</f>
        <v>2400</v>
      </c>
      <c r="K277" s="7">
        <f>dataset!$F277*12</f>
        <v>552000</v>
      </c>
      <c r="L277" s="12">
        <f>IF(dataset!$G277&gt;=200000,38%,IF(dataset!$G277&lt;=145000,12.3%,))</f>
        <v>0.12300000000000001</v>
      </c>
      <c r="M277" s="7">
        <f>dataset!$G277*L278*12</f>
        <v>44280.000000000007</v>
      </c>
      <c r="N277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7" s="7">
        <f>dataset!$K277+dataset!$M277</f>
        <v>596280</v>
      </c>
      <c r="P277" s="7">
        <f>Payroll_Data_Analysis[[#This Row],[Annual Salary + KPI Bonus]]/12/29.3*31</f>
        <v>52573.037542662118</v>
      </c>
      <c r="Q277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7" s="7">
        <f>Payroll_Data_Analysis[[#This Row],[Monthly Salary]]*11</f>
        <v>506000</v>
      </c>
      <c r="S27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7" s="7">
        <f>IF(Payroll_Data_Analysis[[#This Row],[Base Salary (Monthly)]]&gt;=200000,69507,IF(Payroll_Data_Analysis[[#This Row],[Base Salary (Monthly)]]&gt;=145000,52684,35103))</f>
        <v>35103</v>
      </c>
      <c r="U277" s="7">
        <f>Payroll_Data_Analysis[[#This Row],[Annual KPI Bonus Reserve]]+Payroll_Data_Analysis[[#This Row],[Vacation Reserve]]+Payroll_Data_Analysis[[#This Row],[11-Month Salary]]</f>
        <v>602853.03754266212</v>
      </c>
      <c r="V277" s="7">
        <f>Payroll_Data_Analysis[[#This Row],[Payroll Taxes (KPI Bonus)]]+Payroll_Data_Analysis[[#This Row],[Payroll Taxes (Vacation)]]+Payroll_Data_Analysis[[#This Row],[Payroll Taxes (Salary)]]</f>
        <v>182061.61733788397</v>
      </c>
      <c r="W277" s="13">
        <f>Payroll_Data_Analysis[[#This Row],[Total Payroll]]+Payroll_Data_Analysis[[#This Row],[Total Payroll Taxes]]</f>
        <v>784914.65488054603</v>
      </c>
    </row>
    <row r="278" spans="1:23">
      <c r="A278" s="11" t="s">
        <v>661</v>
      </c>
      <c r="B278" s="5" t="s">
        <v>281</v>
      </c>
      <c r="C278" s="5" t="s">
        <v>705</v>
      </c>
      <c r="D278" s="28" t="str">
        <f>VLOOKUP(Payroll_Data_Analysis[[#This Row],[Position]],Position_Map!$A$2:$B$58,2,FALSE)</f>
        <v>Professional</v>
      </c>
      <c r="E278" s="6">
        <v>1</v>
      </c>
      <c r="F278" s="7">
        <v>46000</v>
      </c>
      <c r="G278" s="7">
        <v>30000</v>
      </c>
      <c r="H278" s="7"/>
      <c r="I278" s="7">
        <f>dataset!$F278-dataset!$J278-dataset!$G278-dataset!$H278</f>
        <v>13600</v>
      </c>
      <c r="J278" s="7">
        <f>dataset!$G278*0.08</f>
        <v>2400</v>
      </c>
      <c r="K278" s="7">
        <f>dataset!$F278*12</f>
        <v>552000</v>
      </c>
      <c r="L278" s="12">
        <f>IF(dataset!$G278&gt;=200000,38%,IF(dataset!$G278&lt;=145000,12.3%,))</f>
        <v>0.12300000000000001</v>
      </c>
      <c r="M278" s="7">
        <f>dataset!$G278*L279*12</f>
        <v>44280.000000000007</v>
      </c>
      <c r="N278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8" s="7">
        <f>dataset!$K278+dataset!$M278</f>
        <v>596280</v>
      </c>
      <c r="P278" s="7">
        <f>Payroll_Data_Analysis[[#This Row],[Annual Salary + KPI Bonus]]/12/29.3*31</f>
        <v>52573.037542662118</v>
      </c>
      <c r="Q278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8" s="7">
        <f>Payroll_Data_Analysis[[#This Row],[Monthly Salary]]*11</f>
        <v>506000</v>
      </c>
      <c r="S27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8" s="7">
        <f>IF(Payroll_Data_Analysis[[#This Row],[Base Salary (Monthly)]]&gt;=200000,69507,IF(Payroll_Data_Analysis[[#This Row],[Base Salary (Monthly)]]&gt;=145000,52684,35103))</f>
        <v>35103</v>
      </c>
      <c r="U278" s="7">
        <f>Payroll_Data_Analysis[[#This Row],[Annual KPI Bonus Reserve]]+Payroll_Data_Analysis[[#This Row],[Vacation Reserve]]+Payroll_Data_Analysis[[#This Row],[11-Month Salary]]</f>
        <v>602853.03754266212</v>
      </c>
      <c r="V278" s="7">
        <f>Payroll_Data_Analysis[[#This Row],[Payroll Taxes (KPI Bonus)]]+Payroll_Data_Analysis[[#This Row],[Payroll Taxes (Vacation)]]+Payroll_Data_Analysis[[#This Row],[Payroll Taxes (Salary)]]</f>
        <v>182061.61733788397</v>
      </c>
      <c r="W278" s="13">
        <f>Payroll_Data_Analysis[[#This Row],[Total Payroll]]+Payroll_Data_Analysis[[#This Row],[Total Payroll Taxes]]</f>
        <v>784914.65488054603</v>
      </c>
    </row>
    <row r="279" spans="1:23">
      <c r="A279" s="11" t="s">
        <v>661</v>
      </c>
      <c r="B279" s="5" t="s">
        <v>282</v>
      </c>
      <c r="C279" s="5" t="s">
        <v>705</v>
      </c>
      <c r="D279" s="28" t="str">
        <f>VLOOKUP(Payroll_Data_Analysis[[#This Row],[Position]],Position_Map!$A$2:$B$58,2,FALSE)</f>
        <v>Professional</v>
      </c>
      <c r="E279" s="6">
        <v>1</v>
      </c>
      <c r="F279" s="7">
        <v>46000</v>
      </c>
      <c r="G279" s="7">
        <v>30000</v>
      </c>
      <c r="H279" s="7"/>
      <c r="I279" s="7">
        <f>dataset!$F279-dataset!$J279-dataset!$G279-dataset!$H279</f>
        <v>13600</v>
      </c>
      <c r="J279" s="7">
        <f>dataset!$G279*0.08</f>
        <v>2400</v>
      </c>
      <c r="K279" s="7">
        <f>dataset!$F279*12</f>
        <v>552000</v>
      </c>
      <c r="L279" s="12">
        <f>IF(dataset!$G279&gt;=200000,38%,IF(dataset!$G279&lt;=145000,12.3%,))</f>
        <v>0.12300000000000001</v>
      </c>
      <c r="M279" s="7">
        <f>dataset!$G279*L280*12</f>
        <v>44280.000000000007</v>
      </c>
      <c r="N279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79" s="7">
        <f>dataset!$K279+dataset!$M279</f>
        <v>596280</v>
      </c>
      <c r="P279" s="7">
        <f>Payroll_Data_Analysis[[#This Row],[Annual Salary + KPI Bonus]]/12/29.3*31</f>
        <v>52573.037542662118</v>
      </c>
      <c r="Q279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79" s="7">
        <f>Payroll_Data_Analysis[[#This Row],[Monthly Salary]]*11</f>
        <v>506000</v>
      </c>
      <c r="S27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79" s="7">
        <f>IF(Payroll_Data_Analysis[[#This Row],[Base Salary (Monthly)]]&gt;=200000,69507,IF(Payroll_Data_Analysis[[#This Row],[Base Salary (Monthly)]]&gt;=145000,52684,35103))</f>
        <v>35103</v>
      </c>
      <c r="U279" s="7">
        <f>Payroll_Data_Analysis[[#This Row],[Annual KPI Bonus Reserve]]+Payroll_Data_Analysis[[#This Row],[Vacation Reserve]]+Payroll_Data_Analysis[[#This Row],[11-Month Salary]]</f>
        <v>602853.03754266212</v>
      </c>
      <c r="V279" s="7">
        <f>Payroll_Data_Analysis[[#This Row],[Payroll Taxes (KPI Bonus)]]+Payroll_Data_Analysis[[#This Row],[Payroll Taxes (Vacation)]]+Payroll_Data_Analysis[[#This Row],[Payroll Taxes (Salary)]]</f>
        <v>182061.61733788397</v>
      </c>
      <c r="W279" s="13">
        <f>Payroll_Data_Analysis[[#This Row],[Total Payroll]]+Payroll_Data_Analysis[[#This Row],[Total Payroll Taxes]]</f>
        <v>784914.65488054603</v>
      </c>
    </row>
    <row r="280" spans="1:23">
      <c r="A280" s="11" t="s">
        <v>661</v>
      </c>
      <c r="B280" s="5" t="s">
        <v>283</v>
      </c>
      <c r="C280" s="5" t="s">
        <v>705</v>
      </c>
      <c r="D280" s="28" t="str">
        <f>VLOOKUP(Payroll_Data_Analysis[[#This Row],[Position]],Position_Map!$A$2:$B$58,2,FALSE)</f>
        <v>Professional</v>
      </c>
      <c r="E280" s="6">
        <v>1</v>
      </c>
      <c r="F280" s="7">
        <v>46000</v>
      </c>
      <c r="G280" s="7">
        <v>30000</v>
      </c>
      <c r="H280" s="7"/>
      <c r="I280" s="7">
        <f>dataset!$F280-dataset!$J280-dataset!$G280-dataset!$H280</f>
        <v>13600</v>
      </c>
      <c r="J280" s="7">
        <f>dataset!$G280*0.08</f>
        <v>2400</v>
      </c>
      <c r="K280" s="7">
        <f>dataset!$F280*12</f>
        <v>552000</v>
      </c>
      <c r="L280" s="12">
        <f>IF(dataset!$G280&gt;=200000,38%,IF(dataset!$G280&lt;=145000,12.3%,))</f>
        <v>0.12300000000000001</v>
      </c>
      <c r="M280" s="7">
        <f>dataset!$G280*L281*12</f>
        <v>44280.000000000007</v>
      </c>
      <c r="N280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80" s="7">
        <f>dataset!$K280+dataset!$M280</f>
        <v>596280</v>
      </c>
      <c r="P280" s="7">
        <f>Payroll_Data_Analysis[[#This Row],[Annual Salary + KPI Bonus]]/12/29.3*31</f>
        <v>52573.037542662118</v>
      </c>
      <c r="Q280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80" s="7">
        <f>Payroll_Data_Analysis[[#This Row],[Monthly Salary]]*11</f>
        <v>506000</v>
      </c>
      <c r="S28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80" s="7">
        <f>IF(Payroll_Data_Analysis[[#This Row],[Base Salary (Monthly)]]&gt;=200000,69507,IF(Payroll_Data_Analysis[[#This Row],[Base Salary (Monthly)]]&gt;=145000,52684,35103))</f>
        <v>35103</v>
      </c>
      <c r="U280" s="7">
        <f>Payroll_Data_Analysis[[#This Row],[Annual KPI Bonus Reserve]]+Payroll_Data_Analysis[[#This Row],[Vacation Reserve]]+Payroll_Data_Analysis[[#This Row],[11-Month Salary]]</f>
        <v>602853.03754266212</v>
      </c>
      <c r="V280" s="7">
        <f>Payroll_Data_Analysis[[#This Row],[Payroll Taxes (KPI Bonus)]]+Payroll_Data_Analysis[[#This Row],[Payroll Taxes (Vacation)]]+Payroll_Data_Analysis[[#This Row],[Payroll Taxes (Salary)]]</f>
        <v>182061.61733788397</v>
      </c>
      <c r="W280" s="13">
        <f>Payroll_Data_Analysis[[#This Row],[Total Payroll]]+Payroll_Data_Analysis[[#This Row],[Total Payroll Taxes]]</f>
        <v>784914.65488054603</v>
      </c>
    </row>
    <row r="281" spans="1:23">
      <c r="A281" s="11" t="s">
        <v>661</v>
      </c>
      <c r="B281" s="5" t="s">
        <v>284</v>
      </c>
      <c r="C281" s="5" t="s">
        <v>705</v>
      </c>
      <c r="D281" s="28" t="str">
        <f>VLOOKUP(Payroll_Data_Analysis[[#This Row],[Position]],Position_Map!$A$2:$B$58,2,FALSE)</f>
        <v>Professional</v>
      </c>
      <c r="E281" s="6">
        <v>1</v>
      </c>
      <c r="F281" s="7">
        <v>81000</v>
      </c>
      <c r="G281" s="7">
        <v>60000</v>
      </c>
      <c r="H281" s="7"/>
      <c r="I281" s="7">
        <f>dataset!$F281-dataset!$J281-dataset!$G281-dataset!$H281</f>
        <v>16200</v>
      </c>
      <c r="J281" s="7">
        <f>dataset!$G281*0.08</f>
        <v>4800</v>
      </c>
      <c r="K281" s="7">
        <f>dataset!$F281*12</f>
        <v>972000</v>
      </c>
      <c r="L281" s="12">
        <f>IF(dataset!$G281&gt;=200000,38%,IF(dataset!$G281&lt;=145000,12.3%,))</f>
        <v>0.12300000000000001</v>
      </c>
      <c r="M281" s="7">
        <f>dataset!$G281*L282*12</f>
        <v>88560.000000000015</v>
      </c>
      <c r="N28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281" s="7">
        <f>dataset!$K281+dataset!$M281</f>
        <v>1060560</v>
      </c>
      <c r="P281" s="7">
        <f>Payroll_Data_Analysis[[#This Row],[Annual Salary + KPI Bonus]]/12/29.3*31</f>
        <v>93507.849829351544</v>
      </c>
      <c r="Q281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281" s="7">
        <f>Payroll_Data_Analysis[[#This Row],[Monthly Salary]]*11</f>
        <v>891000</v>
      </c>
      <c r="S281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281" s="7">
        <f>IF(Payroll_Data_Analysis[[#This Row],[Base Salary (Monthly)]]&gt;=200000,69507,IF(Payroll_Data_Analysis[[#This Row],[Base Salary (Monthly)]]&gt;=145000,52684,35103))</f>
        <v>35103</v>
      </c>
      <c r="U281" s="7">
        <f>Payroll_Data_Analysis[[#This Row],[Annual KPI Bonus Reserve]]+Payroll_Data_Analysis[[#This Row],[Vacation Reserve]]+Payroll_Data_Analysis[[#This Row],[11-Month Salary]]</f>
        <v>1073067.8498293515</v>
      </c>
      <c r="V281" s="7">
        <f>Payroll_Data_Analysis[[#This Row],[Payroll Taxes (KPI Bonus)]]+Payroll_Data_Analysis[[#This Row],[Payroll Taxes (Vacation)]]+Payroll_Data_Analysis[[#This Row],[Payroll Taxes (Salary)]]</f>
        <v>324066.49064846418</v>
      </c>
      <c r="W281" s="13">
        <f>Payroll_Data_Analysis[[#This Row],[Total Payroll]]+Payroll_Data_Analysis[[#This Row],[Total Payroll Taxes]]</f>
        <v>1397134.3404778158</v>
      </c>
    </row>
    <row r="282" spans="1:23">
      <c r="A282" s="11" t="s">
        <v>661</v>
      </c>
      <c r="B282" s="5" t="s">
        <v>285</v>
      </c>
      <c r="C282" s="5" t="s">
        <v>705</v>
      </c>
      <c r="D282" s="28" t="str">
        <f>VLOOKUP(Payroll_Data_Analysis[[#This Row],[Position]],Position_Map!$A$2:$B$58,2,FALSE)</f>
        <v>Professional</v>
      </c>
      <c r="E282" s="6">
        <v>1</v>
      </c>
      <c r="F282" s="7">
        <v>46000</v>
      </c>
      <c r="G282" s="7">
        <v>30000</v>
      </c>
      <c r="H282" s="7"/>
      <c r="I282" s="7">
        <f>dataset!$F282-dataset!$J282-dataset!$G282-dataset!$H282</f>
        <v>13600</v>
      </c>
      <c r="J282" s="7">
        <f>dataset!$G282*0.08</f>
        <v>2400</v>
      </c>
      <c r="K282" s="7">
        <f>dataset!$F282*12</f>
        <v>552000</v>
      </c>
      <c r="L282" s="12">
        <f>IF(dataset!$G282&gt;=200000,38%,IF(dataset!$G282&lt;=145000,12.3%,))</f>
        <v>0.12300000000000001</v>
      </c>
      <c r="M282" s="7">
        <f>dataset!$G282*L283*12</f>
        <v>44280.000000000007</v>
      </c>
      <c r="N282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82" s="7">
        <f>dataset!$K282+dataset!$M282</f>
        <v>596280</v>
      </c>
      <c r="P282" s="7">
        <f>Payroll_Data_Analysis[[#This Row],[Annual Salary + KPI Bonus]]/12/29.3*31</f>
        <v>52573.037542662118</v>
      </c>
      <c r="Q282" s="7">
        <f>IF(Payroll_Data_Analysis[[#This Row],[Vacation Reserve]]&lt;=2979000,Payroll_Data_Analysis[[#This Row],[Vacation Reserve]]*0.302,2979000*0.302+(Payroll_Data_Analysis[[#This Row],[Vacation Reserve]]-2979000)*0.151)</f>
        <v>15877.05733788396</v>
      </c>
      <c r="R282" s="7">
        <f>Payroll_Data_Analysis[[#This Row],[Monthly Salary]]*11</f>
        <v>506000</v>
      </c>
      <c r="S28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282" s="7">
        <f>IF(Payroll_Data_Analysis[[#This Row],[Base Salary (Monthly)]]&gt;=200000,69507,IF(Payroll_Data_Analysis[[#This Row],[Base Salary (Monthly)]]&gt;=145000,52684,35103))</f>
        <v>35103</v>
      </c>
      <c r="U282" s="7">
        <f>Payroll_Data_Analysis[[#This Row],[Annual KPI Bonus Reserve]]+Payroll_Data_Analysis[[#This Row],[Vacation Reserve]]+Payroll_Data_Analysis[[#This Row],[11-Month Salary]]</f>
        <v>602853.03754266212</v>
      </c>
      <c r="V282" s="7">
        <f>Payroll_Data_Analysis[[#This Row],[Payroll Taxes (KPI Bonus)]]+Payroll_Data_Analysis[[#This Row],[Payroll Taxes (Vacation)]]+Payroll_Data_Analysis[[#This Row],[Payroll Taxes (Salary)]]</f>
        <v>182061.61733788397</v>
      </c>
      <c r="W282" s="13">
        <f>Payroll_Data_Analysis[[#This Row],[Total Payroll]]+Payroll_Data_Analysis[[#This Row],[Total Payroll Taxes]]</f>
        <v>784914.65488054603</v>
      </c>
    </row>
    <row r="283" spans="1:23">
      <c r="A283" s="11" t="s">
        <v>661</v>
      </c>
      <c r="B283" s="5" t="s">
        <v>286</v>
      </c>
      <c r="C283" s="5" t="s">
        <v>705</v>
      </c>
      <c r="D283" s="28" t="str">
        <f>VLOOKUP(Payroll_Data_Analysis[[#This Row],[Position]],Position_Map!$A$2:$B$58,2,FALSE)</f>
        <v>Professional</v>
      </c>
      <c r="E283" s="6">
        <v>1</v>
      </c>
      <c r="F283" s="7">
        <v>50200</v>
      </c>
      <c r="G283" s="7">
        <v>30000</v>
      </c>
      <c r="H283" s="7"/>
      <c r="I283" s="7">
        <f>dataset!$F283-dataset!$J283-dataset!$G283-dataset!$H283</f>
        <v>17800</v>
      </c>
      <c r="J283" s="7">
        <f>dataset!$G283*0.08</f>
        <v>2400</v>
      </c>
      <c r="K283" s="7">
        <f>dataset!$F283*12</f>
        <v>602400</v>
      </c>
      <c r="L283" s="12">
        <f>IF(dataset!$G283&gt;=200000,38%,IF(dataset!$G283&lt;=145000,12.3%,))</f>
        <v>0.12300000000000001</v>
      </c>
      <c r="M283" s="7">
        <f>dataset!$G283*L284*12</f>
        <v>44280.000000000007</v>
      </c>
      <c r="N283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283" s="7">
        <f>dataset!$K283+dataset!$M283</f>
        <v>646680</v>
      </c>
      <c r="P283" s="7">
        <f>Payroll_Data_Analysis[[#This Row],[Annual Salary + KPI Bonus]]/12/29.3*31</f>
        <v>57016.723549488059</v>
      </c>
      <c r="Q283" s="7">
        <f>IF(Payroll_Data_Analysis[[#This Row],[Vacation Reserve]]&lt;=2979000,Payroll_Data_Analysis[[#This Row],[Vacation Reserve]]*0.302,2979000*0.302+(Payroll_Data_Analysis[[#This Row],[Vacation Reserve]]-2979000)*0.151)</f>
        <v>17219.050511945392</v>
      </c>
      <c r="R283" s="7">
        <f>Payroll_Data_Analysis[[#This Row],[Monthly Salary]]*11</f>
        <v>552200</v>
      </c>
      <c r="S283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83" s="7">
        <f>IF(Payroll_Data_Analysis[[#This Row],[Base Salary (Monthly)]]&gt;=200000,69507,IF(Payroll_Data_Analysis[[#This Row],[Base Salary (Monthly)]]&gt;=145000,52684,35103))</f>
        <v>35103</v>
      </c>
      <c r="U283" s="7">
        <f>Payroll_Data_Analysis[[#This Row],[Annual KPI Bonus Reserve]]+Payroll_Data_Analysis[[#This Row],[Vacation Reserve]]+Payroll_Data_Analysis[[#This Row],[11-Month Salary]]</f>
        <v>653496.723549488</v>
      </c>
      <c r="V283" s="7">
        <f>Payroll_Data_Analysis[[#This Row],[Payroll Taxes (KPI Bonus)]]+Payroll_Data_Analysis[[#This Row],[Payroll Taxes (Vacation)]]+Payroll_Data_Analysis[[#This Row],[Payroll Taxes (Salary)]]</f>
        <v>197356.01051194538</v>
      </c>
      <c r="W283" s="13">
        <f>Payroll_Data_Analysis[[#This Row],[Total Payroll]]+Payroll_Data_Analysis[[#This Row],[Total Payroll Taxes]]</f>
        <v>850852.73406143335</v>
      </c>
    </row>
    <row r="284" spans="1:23">
      <c r="A284" s="11" t="s">
        <v>660</v>
      </c>
      <c r="B284" s="5" t="s">
        <v>287</v>
      </c>
      <c r="C284" s="5" t="s">
        <v>703</v>
      </c>
      <c r="D284" s="28" t="str">
        <f>VLOOKUP(Payroll_Data_Analysis[[#This Row],[Position]],Position_Map!$A$2:$B$58,2,FALSE)</f>
        <v>Management</v>
      </c>
      <c r="E284" s="6">
        <v>1</v>
      </c>
      <c r="F284" s="7">
        <v>261600</v>
      </c>
      <c r="G284" s="7">
        <v>145000</v>
      </c>
      <c r="H284" s="7"/>
      <c r="I284" s="7">
        <f>dataset!$F284-dataset!$J284-dataset!$G284-dataset!$H284</f>
        <v>105000</v>
      </c>
      <c r="J284" s="7">
        <f>dataset!$G284*0.08</f>
        <v>11600</v>
      </c>
      <c r="K284" s="7">
        <f>dataset!$F284*12</f>
        <v>3139200</v>
      </c>
      <c r="L284" s="12">
        <f>IF(dataset!$G284&gt;=200000,38%,IF(dataset!$G284&lt;=145000,12.3%,))</f>
        <v>0.12300000000000001</v>
      </c>
      <c r="M284" s="7">
        <f>dataset!$G284*L285*12</f>
        <v>214020</v>
      </c>
      <c r="N284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84" s="7">
        <f>dataset!$K284+dataset!$M284</f>
        <v>3353220</v>
      </c>
      <c r="P284" s="7">
        <f>Payroll_Data_Analysis[[#This Row],[Annual Salary + KPI Bonus]]/12/29.3*31</f>
        <v>295647.95221843006</v>
      </c>
      <c r="Q284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284" s="7">
        <f>Payroll_Data_Analysis[[#This Row],[Monthly Salary]]*11</f>
        <v>2877600</v>
      </c>
      <c r="S284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284" s="7">
        <f>IF(Payroll_Data_Analysis[[#This Row],[Base Salary (Monthly)]]&gt;=200000,69507,IF(Payroll_Data_Analysis[[#This Row],[Base Salary (Monthly)]]&gt;=145000,52684,35103))</f>
        <v>52684</v>
      </c>
      <c r="U284" s="7">
        <f>Payroll_Data_Analysis[[#This Row],[Annual KPI Bonus Reserve]]+Payroll_Data_Analysis[[#This Row],[Vacation Reserve]]+Payroll_Data_Analysis[[#This Row],[11-Month Salary]]</f>
        <v>3387267.9522184301</v>
      </c>
      <c r="V284" s="7">
        <f>Payroll_Data_Analysis[[#This Row],[Payroll Taxes (KPI Bonus)]]+Payroll_Data_Analysis[[#This Row],[Payroll Taxes (Vacation)]]+Payroll_Data_Analysis[[#This Row],[Payroll Taxes (Salary)]]</f>
        <v>1022954.9215699658</v>
      </c>
      <c r="W284" s="13">
        <f>Payroll_Data_Analysis[[#This Row],[Total Payroll]]+Payroll_Data_Analysis[[#This Row],[Total Payroll Taxes]]</f>
        <v>4410222.8737883959</v>
      </c>
    </row>
    <row r="285" spans="1:23">
      <c r="A285" s="11" t="s">
        <v>660</v>
      </c>
      <c r="B285" s="5" t="s">
        <v>288</v>
      </c>
      <c r="C285" s="5" t="s">
        <v>704</v>
      </c>
      <c r="D285" s="28" t="str">
        <f>VLOOKUP(Payroll_Data_Analysis[[#This Row],[Position]],Position_Map!$A$2:$B$58,2,FALSE)</f>
        <v>Management</v>
      </c>
      <c r="E285" s="6">
        <v>1</v>
      </c>
      <c r="F285" s="7">
        <v>186600</v>
      </c>
      <c r="G285" s="7">
        <v>145000</v>
      </c>
      <c r="H285" s="7"/>
      <c r="I285" s="7">
        <f>dataset!$F285-dataset!$J285-dataset!$G285-dataset!$H285</f>
        <v>30000</v>
      </c>
      <c r="J285" s="7">
        <f>dataset!$G285*0.08</f>
        <v>11600</v>
      </c>
      <c r="K285" s="7">
        <f>dataset!$F285*12</f>
        <v>2239200</v>
      </c>
      <c r="L285" s="12">
        <f>IF(dataset!$G285&gt;=200000,38%,IF(dataset!$G285&lt;=145000,12.3%,))</f>
        <v>0.12300000000000001</v>
      </c>
      <c r="M285" s="7">
        <f>dataset!$G285*L286*12</f>
        <v>214020</v>
      </c>
      <c r="N28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85" s="7">
        <f>dataset!$K285+dataset!$M285</f>
        <v>2453220</v>
      </c>
      <c r="P285" s="7">
        <f>Payroll_Data_Analysis[[#This Row],[Annual Salary + KPI Bonus]]/12/29.3*31</f>
        <v>216296.41638225256</v>
      </c>
      <c r="Q285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285" s="7">
        <f>Payroll_Data_Analysis[[#This Row],[Monthly Salary]]*11</f>
        <v>2052600</v>
      </c>
      <c r="S285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285" s="7">
        <f>IF(Payroll_Data_Analysis[[#This Row],[Base Salary (Monthly)]]&gt;=200000,69507,IF(Payroll_Data_Analysis[[#This Row],[Base Salary (Monthly)]]&gt;=145000,52684,35103))</f>
        <v>52684</v>
      </c>
      <c r="U285" s="7">
        <f>Payroll_Data_Analysis[[#This Row],[Annual KPI Bonus Reserve]]+Payroll_Data_Analysis[[#This Row],[Vacation Reserve]]+Payroll_Data_Analysis[[#This Row],[11-Month Salary]]</f>
        <v>2482916.4163822527</v>
      </c>
      <c r="V285" s="7">
        <f>Payroll_Data_Analysis[[#This Row],[Payroll Taxes (KPI Bonus)]]+Payroll_Data_Analysis[[#This Row],[Payroll Taxes (Vacation)]]+Payroll_Data_Analysis[[#This Row],[Payroll Taxes (Salary)]]</f>
        <v>749840.75774744025</v>
      </c>
      <c r="W285" s="13">
        <f>Payroll_Data_Analysis[[#This Row],[Total Payroll]]+Payroll_Data_Analysis[[#This Row],[Total Payroll Taxes]]</f>
        <v>3232757.1741296928</v>
      </c>
    </row>
    <row r="286" spans="1:23">
      <c r="A286" s="11" t="s">
        <v>660</v>
      </c>
      <c r="B286" s="5" t="s">
        <v>289</v>
      </c>
      <c r="C286" s="5" t="s">
        <v>699</v>
      </c>
      <c r="D286" s="28" t="str">
        <f>VLOOKUP(Payroll_Data_Analysis[[#This Row],[Position]],Position_Map!$A$2:$B$58,2,FALSE)</f>
        <v>Professional</v>
      </c>
      <c r="E286" s="6">
        <v>1</v>
      </c>
      <c r="F286" s="7">
        <v>196600</v>
      </c>
      <c r="G286" s="7">
        <v>145000</v>
      </c>
      <c r="H286" s="7"/>
      <c r="I286" s="7">
        <f>dataset!$F286-dataset!$J286-dataset!$G286-dataset!$H286</f>
        <v>40000</v>
      </c>
      <c r="J286" s="7">
        <f>dataset!$G286*0.08</f>
        <v>11600</v>
      </c>
      <c r="K286" s="7">
        <f>dataset!$F286*12</f>
        <v>2359200</v>
      </c>
      <c r="L286" s="12">
        <f>IF(dataset!$G286&gt;=200000,38%,IF(dataset!$G286&lt;=145000,12.3%,))</f>
        <v>0.12300000000000001</v>
      </c>
      <c r="M286" s="7">
        <f>dataset!$G286*L287*12</f>
        <v>214020</v>
      </c>
      <c r="N28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286" s="7">
        <f>dataset!$K286+dataset!$M286</f>
        <v>2573220</v>
      </c>
      <c r="P286" s="7">
        <f>Payroll_Data_Analysis[[#This Row],[Annual Salary + KPI Bonus]]/12/29.3*31</f>
        <v>226876.62116040956</v>
      </c>
      <c r="Q286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286" s="7">
        <f>Payroll_Data_Analysis[[#This Row],[Monthly Salary]]*11</f>
        <v>2162600</v>
      </c>
      <c r="S286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286" s="7">
        <f>IF(Payroll_Data_Analysis[[#This Row],[Base Salary (Monthly)]]&gt;=200000,69507,IF(Payroll_Data_Analysis[[#This Row],[Base Salary (Monthly)]]&gt;=145000,52684,35103))</f>
        <v>52684</v>
      </c>
      <c r="U286" s="7">
        <f>Payroll_Data_Analysis[[#This Row],[Annual KPI Bonus Reserve]]+Payroll_Data_Analysis[[#This Row],[Vacation Reserve]]+Payroll_Data_Analysis[[#This Row],[11-Month Salary]]</f>
        <v>2603496.6211604094</v>
      </c>
      <c r="V286" s="7">
        <f>Payroll_Data_Analysis[[#This Row],[Payroll Taxes (KPI Bonus)]]+Payroll_Data_Analysis[[#This Row],[Payroll Taxes (Vacation)]]+Payroll_Data_Analysis[[#This Row],[Payroll Taxes (Salary)]]</f>
        <v>786255.97959044366</v>
      </c>
      <c r="W286" s="13">
        <f>Payroll_Data_Analysis[[#This Row],[Total Payroll]]+Payroll_Data_Analysis[[#This Row],[Total Payroll Taxes]]</f>
        <v>3389752.6007508533</v>
      </c>
    </row>
    <row r="287" spans="1:23">
      <c r="A287" s="11" t="s">
        <v>660</v>
      </c>
      <c r="B287" s="5" t="s">
        <v>290</v>
      </c>
      <c r="C287" s="5" t="s">
        <v>710</v>
      </c>
      <c r="D287" s="28" t="str">
        <f>VLOOKUP(Payroll_Data_Analysis[[#This Row],[Position]],Position_Map!$A$2:$B$58,2,FALSE)</f>
        <v>Professional</v>
      </c>
      <c r="E287" s="6">
        <v>1</v>
      </c>
      <c r="F287" s="7">
        <v>104800</v>
      </c>
      <c r="G287" s="7">
        <v>100000</v>
      </c>
      <c r="H287" s="7"/>
      <c r="I287" s="7">
        <f>dataset!$F287-dataset!$J287-dataset!$G287-dataset!$H287</f>
        <v>-3200</v>
      </c>
      <c r="J287" s="7">
        <f>dataset!$G287*0.08</f>
        <v>8000</v>
      </c>
      <c r="K287" s="7">
        <f>dataset!$F287*12</f>
        <v>1257600</v>
      </c>
      <c r="L287" s="12">
        <f>IF(dataset!$G287&gt;=200000,38%,IF(dataset!$G287&lt;=145000,12.3%,))</f>
        <v>0.12300000000000001</v>
      </c>
      <c r="M287" s="7">
        <f>dataset!$G287*L288*12</f>
        <v>147600.00000000003</v>
      </c>
      <c r="N28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287" s="7">
        <f>dataset!$K287+dataset!$M287</f>
        <v>1405200</v>
      </c>
      <c r="P287" s="7">
        <f>Payroll_Data_Analysis[[#This Row],[Annual Salary + KPI Bonus]]/12/29.3*31</f>
        <v>123894.19795221843</v>
      </c>
      <c r="Q287" s="7">
        <f>IF(Payroll_Data_Analysis[[#This Row],[Vacation Reserve]]&lt;=2979000,Payroll_Data_Analysis[[#This Row],[Vacation Reserve]]*0.302,2979000*0.302+(Payroll_Data_Analysis[[#This Row],[Vacation Reserve]]-2979000)*0.151)</f>
        <v>37416.047781569963</v>
      </c>
      <c r="R287" s="7">
        <f>Payroll_Data_Analysis[[#This Row],[Monthly Salary]]*11</f>
        <v>1152800</v>
      </c>
      <c r="S287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287" s="7">
        <f>IF(Payroll_Data_Analysis[[#This Row],[Base Salary (Monthly)]]&gt;=200000,69507,IF(Payroll_Data_Analysis[[#This Row],[Base Salary (Monthly)]]&gt;=145000,52684,35103))</f>
        <v>35103</v>
      </c>
      <c r="U287" s="7">
        <f>Payroll_Data_Analysis[[#This Row],[Annual KPI Bonus Reserve]]+Payroll_Data_Analysis[[#This Row],[Vacation Reserve]]+Payroll_Data_Analysis[[#This Row],[11-Month Salary]]</f>
        <v>1424294.1979522184</v>
      </c>
      <c r="V287" s="7">
        <f>Payroll_Data_Analysis[[#This Row],[Payroll Taxes (KPI Bonus)]]+Payroll_Data_Analysis[[#This Row],[Payroll Taxes (Vacation)]]+Payroll_Data_Analysis[[#This Row],[Payroll Taxes (Salary)]]</f>
        <v>430136.84778156993</v>
      </c>
      <c r="W287" s="13">
        <f>Payroll_Data_Analysis[[#This Row],[Total Payroll]]+Payroll_Data_Analysis[[#This Row],[Total Payroll Taxes]]</f>
        <v>1854431.0457337883</v>
      </c>
    </row>
    <row r="288" spans="1:23">
      <c r="A288" s="11" t="s">
        <v>660</v>
      </c>
      <c r="B288" s="5" t="s">
        <v>291</v>
      </c>
      <c r="C288" s="5" t="s">
        <v>727</v>
      </c>
      <c r="D288" s="28" t="str">
        <f>VLOOKUP(Payroll_Data_Analysis[[#This Row],[Position]],Position_Map!$A$2:$B$58,2,FALSE)</f>
        <v>Operations</v>
      </c>
      <c r="E288" s="6">
        <v>1</v>
      </c>
      <c r="F288" s="7">
        <v>50200</v>
      </c>
      <c r="G288" s="7">
        <v>35000</v>
      </c>
      <c r="H288" s="7"/>
      <c r="I288" s="7">
        <f>dataset!$F288-dataset!$J288-dataset!$G288-dataset!$H288</f>
        <v>12400</v>
      </c>
      <c r="J288" s="7">
        <f>dataset!$G288*0.08</f>
        <v>2800</v>
      </c>
      <c r="K288" s="7">
        <f>dataset!$F288*12</f>
        <v>602400</v>
      </c>
      <c r="L288" s="12">
        <f>IF(dataset!$G288&gt;=200000,38%,IF(dataset!$G288&lt;=145000,12.3%,))</f>
        <v>0.12300000000000001</v>
      </c>
      <c r="M288" s="7">
        <f>dataset!$G288*L289*12</f>
        <v>51660</v>
      </c>
      <c r="N28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88" s="7">
        <f>dataset!$K288+dataset!$M288</f>
        <v>654060</v>
      </c>
      <c r="P288" s="7">
        <f>Payroll_Data_Analysis[[#This Row],[Annual Salary + KPI Bonus]]/12/29.3*31</f>
        <v>57667.406143344706</v>
      </c>
      <c r="Q288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88" s="7">
        <f>Payroll_Data_Analysis[[#This Row],[Monthly Salary]]*11</f>
        <v>552200</v>
      </c>
      <c r="S288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88" s="7">
        <f>IF(Payroll_Data_Analysis[[#This Row],[Base Salary (Monthly)]]&gt;=200000,69507,IF(Payroll_Data_Analysis[[#This Row],[Base Salary (Monthly)]]&gt;=145000,52684,35103))</f>
        <v>35103</v>
      </c>
      <c r="U288" s="7">
        <f>Payroll_Data_Analysis[[#This Row],[Annual KPI Bonus Reserve]]+Payroll_Data_Analysis[[#This Row],[Vacation Reserve]]+Payroll_Data_Analysis[[#This Row],[11-Month Salary]]</f>
        <v>661527.40614334471</v>
      </c>
      <c r="V288" s="7">
        <f>Payroll_Data_Analysis[[#This Row],[Payroll Taxes (KPI Bonus)]]+Payroll_Data_Analysis[[#This Row],[Payroll Taxes (Vacation)]]+Payroll_Data_Analysis[[#This Row],[Payroll Taxes (Salary)]]</f>
        <v>199781.2766552901</v>
      </c>
      <c r="W288" s="13">
        <f>Payroll_Data_Analysis[[#This Row],[Total Payroll]]+Payroll_Data_Analysis[[#This Row],[Total Payroll Taxes]]</f>
        <v>861308.68279863475</v>
      </c>
    </row>
    <row r="289" spans="1:23">
      <c r="A289" s="11" t="s">
        <v>660</v>
      </c>
      <c r="B289" s="5" t="s">
        <v>292</v>
      </c>
      <c r="C289" s="5" t="s">
        <v>727</v>
      </c>
      <c r="D289" s="28" t="str">
        <f>VLOOKUP(Payroll_Data_Analysis[[#This Row],[Position]],Position_Map!$A$2:$B$58,2,FALSE)</f>
        <v>Operations</v>
      </c>
      <c r="E289" s="6">
        <v>1</v>
      </c>
      <c r="F289" s="7">
        <v>50200</v>
      </c>
      <c r="G289" s="7">
        <v>35000</v>
      </c>
      <c r="H289" s="7"/>
      <c r="I289" s="7">
        <f>dataset!$F289-dataset!$J289-dataset!$G289-dataset!$H289</f>
        <v>12400</v>
      </c>
      <c r="J289" s="7">
        <f>dataset!$G289*0.08</f>
        <v>2800</v>
      </c>
      <c r="K289" s="7">
        <f>dataset!$F289*12</f>
        <v>602400</v>
      </c>
      <c r="L289" s="12">
        <f>IF(dataset!$G289&gt;=200000,38%,IF(dataset!$G289&lt;=145000,12.3%,))</f>
        <v>0.12300000000000001</v>
      </c>
      <c r="M289" s="7">
        <f>dataset!$G289*L290*12</f>
        <v>51660</v>
      </c>
      <c r="N28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89" s="7">
        <f>dataset!$K289+dataset!$M289</f>
        <v>654060</v>
      </c>
      <c r="P289" s="7">
        <f>Payroll_Data_Analysis[[#This Row],[Annual Salary + KPI Bonus]]/12/29.3*31</f>
        <v>57667.406143344706</v>
      </c>
      <c r="Q289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89" s="7">
        <f>Payroll_Data_Analysis[[#This Row],[Monthly Salary]]*11</f>
        <v>552200</v>
      </c>
      <c r="S289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89" s="7">
        <f>IF(Payroll_Data_Analysis[[#This Row],[Base Salary (Monthly)]]&gt;=200000,69507,IF(Payroll_Data_Analysis[[#This Row],[Base Salary (Monthly)]]&gt;=145000,52684,35103))</f>
        <v>35103</v>
      </c>
      <c r="U289" s="7">
        <f>Payroll_Data_Analysis[[#This Row],[Annual KPI Bonus Reserve]]+Payroll_Data_Analysis[[#This Row],[Vacation Reserve]]+Payroll_Data_Analysis[[#This Row],[11-Month Salary]]</f>
        <v>661527.40614334471</v>
      </c>
      <c r="V289" s="7">
        <f>Payroll_Data_Analysis[[#This Row],[Payroll Taxes (KPI Bonus)]]+Payroll_Data_Analysis[[#This Row],[Payroll Taxes (Vacation)]]+Payroll_Data_Analysis[[#This Row],[Payroll Taxes (Salary)]]</f>
        <v>199781.2766552901</v>
      </c>
      <c r="W289" s="13">
        <f>Payroll_Data_Analysis[[#This Row],[Total Payroll]]+Payroll_Data_Analysis[[#This Row],[Total Payroll Taxes]]</f>
        <v>861308.68279863475</v>
      </c>
    </row>
    <row r="290" spans="1:23">
      <c r="A290" s="11" t="s">
        <v>660</v>
      </c>
      <c r="B290" s="5" t="s">
        <v>293</v>
      </c>
      <c r="C290" s="5" t="s">
        <v>727</v>
      </c>
      <c r="D290" s="28" t="str">
        <f>VLOOKUP(Payroll_Data_Analysis[[#This Row],[Position]],Position_Map!$A$2:$B$58,2,FALSE)</f>
        <v>Operations</v>
      </c>
      <c r="E290" s="6">
        <v>1</v>
      </c>
      <c r="F290" s="7">
        <v>50200</v>
      </c>
      <c r="G290" s="7">
        <v>35000</v>
      </c>
      <c r="H290" s="7"/>
      <c r="I290" s="7">
        <f>dataset!$F290-dataset!$J290-dataset!$G290-dataset!$H290</f>
        <v>12400</v>
      </c>
      <c r="J290" s="7">
        <f>dataset!$G290*0.08</f>
        <v>2800</v>
      </c>
      <c r="K290" s="7">
        <f>dataset!$F290*12</f>
        <v>602400</v>
      </c>
      <c r="L290" s="12">
        <f>IF(dataset!$G290&gt;=200000,38%,IF(dataset!$G290&lt;=145000,12.3%,))</f>
        <v>0.12300000000000001</v>
      </c>
      <c r="M290" s="7">
        <f>dataset!$G290*L291*12</f>
        <v>51660</v>
      </c>
      <c r="N29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0" s="7">
        <f>dataset!$K290+dataset!$M290</f>
        <v>654060</v>
      </c>
      <c r="P290" s="7">
        <f>Payroll_Data_Analysis[[#This Row],[Annual Salary + KPI Bonus]]/12/29.3*31</f>
        <v>57667.406143344706</v>
      </c>
      <c r="Q290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90" s="7">
        <f>Payroll_Data_Analysis[[#This Row],[Monthly Salary]]*11</f>
        <v>552200</v>
      </c>
      <c r="S290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90" s="7">
        <f>IF(Payroll_Data_Analysis[[#This Row],[Base Salary (Monthly)]]&gt;=200000,69507,IF(Payroll_Data_Analysis[[#This Row],[Base Salary (Monthly)]]&gt;=145000,52684,35103))</f>
        <v>35103</v>
      </c>
      <c r="U290" s="7">
        <f>Payroll_Data_Analysis[[#This Row],[Annual KPI Bonus Reserve]]+Payroll_Data_Analysis[[#This Row],[Vacation Reserve]]+Payroll_Data_Analysis[[#This Row],[11-Month Salary]]</f>
        <v>661527.40614334471</v>
      </c>
      <c r="V290" s="7">
        <f>Payroll_Data_Analysis[[#This Row],[Payroll Taxes (KPI Bonus)]]+Payroll_Data_Analysis[[#This Row],[Payroll Taxes (Vacation)]]+Payroll_Data_Analysis[[#This Row],[Payroll Taxes (Salary)]]</f>
        <v>199781.2766552901</v>
      </c>
      <c r="W290" s="13">
        <f>Payroll_Data_Analysis[[#This Row],[Total Payroll]]+Payroll_Data_Analysis[[#This Row],[Total Payroll Taxes]]</f>
        <v>861308.68279863475</v>
      </c>
    </row>
    <row r="291" spans="1:23">
      <c r="A291" s="11" t="s">
        <v>660</v>
      </c>
      <c r="B291" s="5" t="s">
        <v>294</v>
      </c>
      <c r="C291" s="5" t="s">
        <v>727</v>
      </c>
      <c r="D291" s="28" t="str">
        <f>VLOOKUP(Payroll_Data_Analysis[[#This Row],[Position]],Position_Map!$A$2:$B$58,2,FALSE)</f>
        <v>Operations</v>
      </c>
      <c r="E291" s="6">
        <v>1</v>
      </c>
      <c r="F291" s="7">
        <v>50200</v>
      </c>
      <c r="G291" s="7">
        <v>35000</v>
      </c>
      <c r="H291" s="7"/>
      <c r="I291" s="7">
        <f>dataset!$F291-dataset!$J291-dataset!$G291-dataset!$H291</f>
        <v>12400</v>
      </c>
      <c r="J291" s="7">
        <f>dataset!$G291*0.08</f>
        <v>2800</v>
      </c>
      <c r="K291" s="7">
        <f>dataset!$F291*12</f>
        <v>602400</v>
      </c>
      <c r="L291" s="12">
        <f>IF(dataset!$G291&gt;=200000,38%,IF(dataset!$G291&lt;=145000,12.3%,))</f>
        <v>0.12300000000000001</v>
      </c>
      <c r="M291" s="7">
        <f>dataset!$G291*L292*12</f>
        <v>51660</v>
      </c>
      <c r="N29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1" s="7">
        <f>dataset!$K291+dataset!$M291</f>
        <v>654060</v>
      </c>
      <c r="P291" s="7">
        <f>Payroll_Data_Analysis[[#This Row],[Annual Salary + KPI Bonus]]/12/29.3*31</f>
        <v>57667.406143344706</v>
      </c>
      <c r="Q291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91" s="7">
        <f>Payroll_Data_Analysis[[#This Row],[Monthly Salary]]*11</f>
        <v>552200</v>
      </c>
      <c r="S291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91" s="7">
        <f>IF(Payroll_Data_Analysis[[#This Row],[Base Salary (Monthly)]]&gt;=200000,69507,IF(Payroll_Data_Analysis[[#This Row],[Base Salary (Monthly)]]&gt;=145000,52684,35103))</f>
        <v>35103</v>
      </c>
      <c r="U291" s="7">
        <f>Payroll_Data_Analysis[[#This Row],[Annual KPI Bonus Reserve]]+Payroll_Data_Analysis[[#This Row],[Vacation Reserve]]+Payroll_Data_Analysis[[#This Row],[11-Month Salary]]</f>
        <v>661527.40614334471</v>
      </c>
      <c r="V291" s="7">
        <f>Payroll_Data_Analysis[[#This Row],[Payroll Taxes (KPI Bonus)]]+Payroll_Data_Analysis[[#This Row],[Payroll Taxes (Vacation)]]+Payroll_Data_Analysis[[#This Row],[Payroll Taxes (Salary)]]</f>
        <v>199781.2766552901</v>
      </c>
      <c r="W291" s="13">
        <f>Payroll_Data_Analysis[[#This Row],[Total Payroll]]+Payroll_Data_Analysis[[#This Row],[Total Payroll Taxes]]</f>
        <v>861308.68279863475</v>
      </c>
    </row>
    <row r="292" spans="1:23">
      <c r="A292" s="11" t="s">
        <v>660</v>
      </c>
      <c r="B292" s="5" t="s">
        <v>295</v>
      </c>
      <c r="C292" s="5" t="s">
        <v>727</v>
      </c>
      <c r="D292" s="28" t="str">
        <f>VLOOKUP(Payroll_Data_Analysis[[#This Row],[Position]],Position_Map!$A$2:$B$58,2,FALSE)</f>
        <v>Operations</v>
      </c>
      <c r="E292" s="6">
        <v>1</v>
      </c>
      <c r="F292" s="7">
        <v>50200</v>
      </c>
      <c r="G292" s="7">
        <v>35000</v>
      </c>
      <c r="H292" s="7"/>
      <c r="I292" s="7">
        <f>dataset!$F292-dataset!$J292-dataset!$G292-dataset!$H292</f>
        <v>12400</v>
      </c>
      <c r="J292" s="7">
        <f>dataset!$G292*0.08</f>
        <v>2800</v>
      </c>
      <c r="K292" s="7">
        <f>dataset!$F292*12</f>
        <v>602400</v>
      </c>
      <c r="L292" s="12">
        <f>IF(dataset!$G292&gt;=200000,38%,IF(dataset!$G292&lt;=145000,12.3%,))</f>
        <v>0.12300000000000001</v>
      </c>
      <c r="M292" s="7">
        <f>dataset!$G292*L293*12</f>
        <v>51660</v>
      </c>
      <c r="N29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2" s="7">
        <f>dataset!$K292+dataset!$M292</f>
        <v>654060</v>
      </c>
      <c r="P292" s="7">
        <f>Payroll_Data_Analysis[[#This Row],[Annual Salary + KPI Bonus]]/12/29.3*31</f>
        <v>57667.406143344706</v>
      </c>
      <c r="Q292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92" s="7">
        <f>Payroll_Data_Analysis[[#This Row],[Monthly Salary]]*11</f>
        <v>552200</v>
      </c>
      <c r="S292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92" s="7">
        <f>IF(Payroll_Data_Analysis[[#This Row],[Base Salary (Monthly)]]&gt;=200000,69507,IF(Payroll_Data_Analysis[[#This Row],[Base Salary (Monthly)]]&gt;=145000,52684,35103))</f>
        <v>35103</v>
      </c>
      <c r="U292" s="7">
        <f>Payroll_Data_Analysis[[#This Row],[Annual KPI Bonus Reserve]]+Payroll_Data_Analysis[[#This Row],[Vacation Reserve]]+Payroll_Data_Analysis[[#This Row],[11-Month Salary]]</f>
        <v>661527.40614334471</v>
      </c>
      <c r="V292" s="7">
        <f>Payroll_Data_Analysis[[#This Row],[Payroll Taxes (KPI Bonus)]]+Payroll_Data_Analysis[[#This Row],[Payroll Taxes (Vacation)]]+Payroll_Data_Analysis[[#This Row],[Payroll Taxes (Salary)]]</f>
        <v>199781.2766552901</v>
      </c>
      <c r="W292" s="13">
        <f>Payroll_Data_Analysis[[#This Row],[Total Payroll]]+Payroll_Data_Analysis[[#This Row],[Total Payroll Taxes]]</f>
        <v>861308.68279863475</v>
      </c>
    </row>
    <row r="293" spans="1:23">
      <c r="A293" s="11" t="s">
        <v>660</v>
      </c>
      <c r="B293" s="5" t="s">
        <v>296</v>
      </c>
      <c r="C293" s="5" t="s">
        <v>727</v>
      </c>
      <c r="D293" s="28" t="str">
        <f>VLOOKUP(Payroll_Data_Analysis[[#This Row],[Position]],Position_Map!$A$2:$B$58,2,FALSE)</f>
        <v>Operations</v>
      </c>
      <c r="E293" s="6">
        <v>1</v>
      </c>
      <c r="F293" s="7">
        <v>50200</v>
      </c>
      <c r="G293" s="7">
        <v>35000</v>
      </c>
      <c r="H293" s="7"/>
      <c r="I293" s="7">
        <f>dataset!$F293-dataset!$J293-dataset!$G293-dataset!$H293</f>
        <v>12400</v>
      </c>
      <c r="J293" s="7">
        <f>dataset!$G293*0.08</f>
        <v>2800</v>
      </c>
      <c r="K293" s="7">
        <f>dataset!$F293*12</f>
        <v>602400</v>
      </c>
      <c r="L293" s="12">
        <f>IF(dataset!$G293&gt;=200000,38%,IF(dataset!$G293&lt;=145000,12.3%,))</f>
        <v>0.12300000000000001</v>
      </c>
      <c r="M293" s="7">
        <f>dataset!$G293*L294*12</f>
        <v>51660</v>
      </c>
      <c r="N29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3" s="7">
        <f>dataset!$K293+dataset!$M293</f>
        <v>654060</v>
      </c>
      <c r="P293" s="7">
        <f>Payroll_Data_Analysis[[#This Row],[Annual Salary + KPI Bonus]]/12/29.3*31</f>
        <v>57667.406143344706</v>
      </c>
      <c r="Q293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293" s="7">
        <f>Payroll_Data_Analysis[[#This Row],[Monthly Salary]]*11</f>
        <v>552200</v>
      </c>
      <c r="S293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293" s="7">
        <f>IF(Payroll_Data_Analysis[[#This Row],[Base Salary (Monthly)]]&gt;=200000,69507,IF(Payroll_Data_Analysis[[#This Row],[Base Salary (Monthly)]]&gt;=145000,52684,35103))</f>
        <v>35103</v>
      </c>
      <c r="U293" s="7">
        <f>Payroll_Data_Analysis[[#This Row],[Annual KPI Bonus Reserve]]+Payroll_Data_Analysis[[#This Row],[Vacation Reserve]]+Payroll_Data_Analysis[[#This Row],[11-Month Salary]]</f>
        <v>661527.40614334471</v>
      </c>
      <c r="V293" s="7">
        <f>Payroll_Data_Analysis[[#This Row],[Payroll Taxes (KPI Bonus)]]+Payroll_Data_Analysis[[#This Row],[Payroll Taxes (Vacation)]]+Payroll_Data_Analysis[[#This Row],[Payroll Taxes (Salary)]]</f>
        <v>199781.2766552901</v>
      </c>
      <c r="W293" s="13">
        <f>Payroll_Data_Analysis[[#This Row],[Total Payroll]]+Payroll_Data_Analysis[[#This Row],[Total Payroll Taxes]]</f>
        <v>861308.68279863475</v>
      </c>
    </row>
    <row r="294" spans="1:23">
      <c r="A294" s="11" t="s">
        <v>660</v>
      </c>
      <c r="B294" s="5" t="s">
        <v>297</v>
      </c>
      <c r="C294" s="5" t="s">
        <v>728</v>
      </c>
      <c r="D294" s="28" t="str">
        <f>VLOOKUP(Payroll_Data_Analysis[[#This Row],[Position]],Position_Map!$A$2:$B$58,2,FALSE)</f>
        <v>Facilities</v>
      </c>
      <c r="E294" s="6">
        <v>1</v>
      </c>
      <c r="F294" s="7">
        <v>42400</v>
      </c>
      <c r="G294" s="7">
        <v>35000</v>
      </c>
      <c r="H294" s="7"/>
      <c r="I294" s="7">
        <f>dataset!$F294-dataset!$J294-dataset!$G294-dataset!$H294</f>
        <v>4600</v>
      </c>
      <c r="J294" s="7">
        <f>dataset!$G294*0.08</f>
        <v>2800</v>
      </c>
      <c r="K294" s="7">
        <f>dataset!$F294*12</f>
        <v>508800</v>
      </c>
      <c r="L294" s="12">
        <f>IF(dataset!$G294&gt;=200000,38%,IF(dataset!$G294&lt;=145000,12.3%,))</f>
        <v>0.12300000000000001</v>
      </c>
      <c r="M294" s="7">
        <f>dataset!$G294*L295*12</f>
        <v>51660</v>
      </c>
      <c r="N29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4" s="7">
        <f>dataset!$K294+dataset!$M294</f>
        <v>560460</v>
      </c>
      <c r="P294" s="7">
        <f>Payroll_Data_Analysis[[#This Row],[Annual Salary + KPI Bonus]]/12/29.3*31</f>
        <v>49414.84641638225</v>
      </c>
      <c r="Q294" s="7">
        <f>IF(Payroll_Data_Analysis[[#This Row],[Vacation Reserve]]&lt;=2979000,Payroll_Data_Analysis[[#This Row],[Vacation Reserve]]*0.302,2979000*0.302+(Payroll_Data_Analysis[[#This Row],[Vacation Reserve]]-2979000)*0.151)</f>
        <v>14923.283617747438</v>
      </c>
      <c r="R294" s="7">
        <f>Payroll_Data_Analysis[[#This Row],[Monthly Salary]]*11</f>
        <v>466400</v>
      </c>
      <c r="S294" s="7">
        <f>IF(Payroll_Data_Analysis[[#This Row],[11-Month Salary]]&lt;=2979000,Payroll_Data_Analysis[[#This Row],[11-Month Salary]]*0.302,2979000*0.302+(Payroll_Data_Analysis[[#This Row],[11-Month Salary]]-2979000)*0.151)</f>
        <v>140852.79999999999</v>
      </c>
      <c r="T294" s="7">
        <f>IF(Payroll_Data_Analysis[[#This Row],[Base Salary (Monthly)]]&gt;=200000,69507,IF(Payroll_Data_Analysis[[#This Row],[Base Salary (Monthly)]]&gt;=145000,52684,35103))</f>
        <v>35103</v>
      </c>
      <c r="U294" s="7">
        <f>Payroll_Data_Analysis[[#This Row],[Annual KPI Bonus Reserve]]+Payroll_Data_Analysis[[#This Row],[Vacation Reserve]]+Payroll_Data_Analysis[[#This Row],[11-Month Salary]]</f>
        <v>567474.84641638224</v>
      </c>
      <c r="V294" s="7">
        <f>Payroll_Data_Analysis[[#This Row],[Payroll Taxes (KPI Bonus)]]+Payroll_Data_Analysis[[#This Row],[Payroll Taxes (Vacation)]]+Payroll_Data_Analysis[[#This Row],[Payroll Taxes (Salary)]]</f>
        <v>171377.40361774742</v>
      </c>
      <c r="W294" s="13">
        <f>Payroll_Data_Analysis[[#This Row],[Total Payroll]]+Payroll_Data_Analysis[[#This Row],[Total Payroll Taxes]]</f>
        <v>738852.25003412971</v>
      </c>
    </row>
    <row r="295" spans="1:23">
      <c r="A295" s="11" t="s">
        <v>660</v>
      </c>
      <c r="B295" s="5" t="s">
        <v>298</v>
      </c>
      <c r="C295" s="5" t="s">
        <v>728</v>
      </c>
      <c r="D295" s="28" t="str">
        <f>VLOOKUP(Payroll_Data_Analysis[[#This Row],[Position]],Position_Map!$A$2:$B$58,2,FALSE)</f>
        <v>Facilities</v>
      </c>
      <c r="E295" s="6">
        <v>1</v>
      </c>
      <c r="F295" s="7">
        <v>48400</v>
      </c>
      <c r="G295" s="7">
        <v>35000</v>
      </c>
      <c r="H295" s="7"/>
      <c r="I295" s="7">
        <f>dataset!$F295-dataset!$J295-dataset!$G295-dataset!$H295</f>
        <v>10600</v>
      </c>
      <c r="J295" s="7">
        <f>dataset!$G295*0.08</f>
        <v>2800</v>
      </c>
      <c r="K295" s="7">
        <f>dataset!$F295*12</f>
        <v>580800</v>
      </c>
      <c r="L295" s="12">
        <f>IF(dataset!$G295&gt;=200000,38%,IF(dataset!$G295&lt;=145000,12.3%,))</f>
        <v>0.12300000000000001</v>
      </c>
      <c r="M295" s="7">
        <f>dataset!$G295*L296*12</f>
        <v>51660</v>
      </c>
      <c r="N29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5" s="7">
        <f>dataset!$K295+dataset!$M295</f>
        <v>632460</v>
      </c>
      <c r="P295" s="7">
        <f>Payroll_Data_Analysis[[#This Row],[Annual Salary + KPI Bonus]]/12/29.3*31</f>
        <v>55762.969283276449</v>
      </c>
      <c r="Q295" s="7">
        <f>IF(Payroll_Data_Analysis[[#This Row],[Vacation Reserve]]&lt;=2979000,Payroll_Data_Analysis[[#This Row],[Vacation Reserve]]*0.302,2979000*0.302+(Payroll_Data_Analysis[[#This Row],[Vacation Reserve]]-2979000)*0.151)</f>
        <v>16840.416723549486</v>
      </c>
      <c r="R295" s="7">
        <f>Payroll_Data_Analysis[[#This Row],[Monthly Salary]]*11</f>
        <v>532400</v>
      </c>
      <c r="S295" s="7">
        <f>IF(Payroll_Data_Analysis[[#This Row],[11-Month Salary]]&lt;=2979000,Payroll_Data_Analysis[[#This Row],[11-Month Salary]]*0.302,2979000*0.302+(Payroll_Data_Analysis[[#This Row],[11-Month Salary]]-2979000)*0.151)</f>
        <v>160784.79999999999</v>
      </c>
      <c r="T295" s="7">
        <f>IF(Payroll_Data_Analysis[[#This Row],[Base Salary (Monthly)]]&gt;=200000,69507,IF(Payroll_Data_Analysis[[#This Row],[Base Salary (Monthly)]]&gt;=145000,52684,35103))</f>
        <v>35103</v>
      </c>
      <c r="U295" s="7">
        <f>Payroll_Data_Analysis[[#This Row],[Annual KPI Bonus Reserve]]+Payroll_Data_Analysis[[#This Row],[Vacation Reserve]]+Payroll_Data_Analysis[[#This Row],[11-Month Salary]]</f>
        <v>639822.96928327647</v>
      </c>
      <c r="V295" s="7">
        <f>Payroll_Data_Analysis[[#This Row],[Payroll Taxes (KPI Bonus)]]+Payroll_Data_Analysis[[#This Row],[Payroll Taxes (Vacation)]]+Payroll_Data_Analysis[[#This Row],[Payroll Taxes (Salary)]]</f>
        <v>193226.53672354948</v>
      </c>
      <c r="W295" s="13">
        <f>Payroll_Data_Analysis[[#This Row],[Total Payroll]]+Payroll_Data_Analysis[[#This Row],[Total Payroll Taxes]]</f>
        <v>833049.50600682595</v>
      </c>
    </row>
    <row r="296" spans="1:23">
      <c r="A296" s="11" t="s">
        <v>660</v>
      </c>
      <c r="B296" s="5" t="s">
        <v>299</v>
      </c>
      <c r="C296" s="5" t="s">
        <v>728</v>
      </c>
      <c r="D296" s="28" t="str">
        <f>VLOOKUP(Payroll_Data_Analysis[[#This Row],[Position]],Position_Map!$A$2:$B$58,2,FALSE)</f>
        <v>Facilities</v>
      </c>
      <c r="E296" s="6">
        <v>1</v>
      </c>
      <c r="F296" s="7">
        <v>48400</v>
      </c>
      <c r="G296" s="7">
        <v>35000</v>
      </c>
      <c r="H296" s="7"/>
      <c r="I296" s="7">
        <f>dataset!$F296-dataset!$J296-dataset!$G296-dataset!$H296</f>
        <v>10600</v>
      </c>
      <c r="J296" s="7">
        <f>dataset!$G296*0.08</f>
        <v>2800</v>
      </c>
      <c r="K296" s="7">
        <f>dataset!$F296*12</f>
        <v>580800</v>
      </c>
      <c r="L296" s="12">
        <f>IF(dataset!$G296&gt;=200000,38%,IF(dataset!$G296&lt;=145000,12.3%,))</f>
        <v>0.12300000000000001</v>
      </c>
      <c r="M296" s="7">
        <f>dataset!$G296*L297*12</f>
        <v>51660</v>
      </c>
      <c r="N29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6" s="7">
        <f>dataset!$K296+dataset!$M296</f>
        <v>632460</v>
      </c>
      <c r="P296" s="7">
        <f>Payroll_Data_Analysis[[#This Row],[Annual Salary + KPI Bonus]]/12/29.3*31</f>
        <v>55762.969283276449</v>
      </c>
      <c r="Q296" s="7">
        <f>IF(Payroll_Data_Analysis[[#This Row],[Vacation Reserve]]&lt;=2979000,Payroll_Data_Analysis[[#This Row],[Vacation Reserve]]*0.302,2979000*0.302+(Payroll_Data_Analysis[[#This Row],[Vacation Reserve]]-2979000)*0.151)</f>
        <v>16840.416723549486</v>
      </c>
      <c r="R296" s="7">
        <f>Payroll_Data_Analysis[[#This Row],[Monthly Salary]]*11</f>
        <v>532400</v>
      </c>
      <c r="S296" s="7">
        <f>IF(Payroll_Data_Analysis[[#This Row],[11-Month Salary]]&lt;=2979000,Payroll_Data_Analysis[[#This Row],[11-Month Salary]]*0.302,2979000*0.302+(Payroll_Data_Analysis[[#This Row],[11-Month Salary]]-2979000)*0.151)</f>
        <v>160784.79999999999</v>
      </c>
      <c r="T296" s="7">
        <f>IF(Payroll_Data_Analysis[[#This Row],[Base Salary (Monthly)]]&gt;=200000,69507,IF(Payroll_Data_Analysis[[#This Row],[Base Salary (Monthly)]]&gt;=145000,52684,35103))</f>
        <v>35103</v>
      </c>
      <c r="U296" s="7">
        <f>Payroll_Data_Analysis[[#This Row],[Annual KPI Bonus Reserve]]+Payroll_Data_Analysis[[#This Row],[Vacation Reserve]]+Payroll_Data_Analysis[[#This Row],[11-Month Salary]]</f>
        <v>639822.96928327647</v>
      </c>
      <c r="V296" s="7">
        <f>Payroll_Data_Analysis[[#This Row],[Payroll Taxes (KPI Bonus)]]+Payroll_Data_Analysis[[#This Row],[Payroll Taxes (Vacation)]]+Payroll_Data_Analysis[[#This Row],[Payroll Taxes (Salary)]]</f>
        <v>193226.53672354948</v>
      </c>
      <c r="W296" s="13">
        <f>Payroll_Data_Analysis[[#This Row],[Total Payroll]]+Payroll_Data_Analysis[[#This Row],[Total Payroll Taxes]]</f>
        <v>833049.50600682595</v>
      </c>
    </row>
    <row r="297" spans="1:23">
      <c r="A297" s="11" t="s">
        <v>660</v>
      </c>
      <c r="B297" s="5" t="s">
        <v>300</v>
      </c>
      <c r="C297" s="5" t="s">
        <v>728</v>
      </c>
      <c r="D297" s="28" t="str">
        <f>VLOOKUP(Payroll_Data_Analysis[[#This Row],[Position]],Position_Map!$A$2:$B$58,2,FALSE)</f>
        <v>Facilities</v>
      </c>
      <c r="E297" s="6">
        <v>1</v>
      </c>
      <c r="F297" s="7">
        <v>48400</v>
      </c>
      <c r="G297" s="7">
        <v>35000</v>
      </c>
      <c r="H297" s="7"/>
      <c r="I297" s="7">
        <f>dataset!$F297-dataset!$J297-dataset!$G297-dataset!$H297</f>
        <v>10600</v>
      </c>
      <c r="J297" s="7">
        <f>dataset!$G297*0.08</f>
        <v>2800</v>
      </c>
      <c r="K297" s="7">
        <f>dataset!$F297*12</f>
        <v>580800</v>
      </c>
      <c r="L297" s="12">
        <f>IF(dataset!$G297&gt;=200000,38%,IF(dataset!$G297&lt;=145000,12.3%,))</f>
        <v>0.12300000000000001</v>
      </c>
      <c r="M297" s="7">
        <f>dataset!$G297*L298*12</f>
        <v>51660</v>
      </c>
      <c r="N29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7" s="7">
        <f>dataset!$K297+dataset!$M297</f>
        <v>632460</v>
      </c>
      <c r="P297" s="7">
        <f>Payroll_Data_Analysis[[#This Row],[Annual Salary + KPI Bonus]]/12/29.3*31</f>
        <v>55762.969283276449</v>
      </c>
      <c r="Q297" s="7">
        <f>IF(Payroll_Data_Analysis[[#This Row],[Vacation Reserve]]&lt;=2979000,Payroll_Data_Analysis[[#This Row],[Vacation Reserve]]*0.302,2979000*0.302+(Payroll_Data_Analysis[[#This Row],[Vacation Reserve]]-2979000)*0.151)</f>
        <v>16840.416723549486</v>
      </c>
      <c r="R297" s="7">
        <f>Payroll_Data_Analysis[[#This Row],[Monthly Salary]]*11</f>
        <v>532400</v>
      </c>
      <c r="S297" s="7">
        <f>IF(Payroll_Data_Analysis[[#This Row],[11-Month Salary]]&lt;=2979000,Payroll_Data_Analysis[[#This Row],[11-Month Salary]]*0.302,2979000*0.302+(Payroll_Data_Analysis[[#This Row],[11-Month Salary]]-2979000)*0.151)</f>
        <v>160784.79999999999</v>
      </c>
      <c r="T297" s="7">
        <f>IF(Payroll_Data_Analysis[[#This Row],[Base Salary (Monthly)]]&gt;=200000,69507,IF(Payroll_Data_Analysis[[#This Row],[Base Salary (Monthly)]]&gt;=145000,52684,35103))</f>
        <v>35103</v>
      </c>
      <c r="U297" s="7">
        <f>Payroll_Data_Analysis[[#This Row],[Annual KPI Bonus Reserve]]+Payroll_Data_Analysis[[#This Row],[Vacation Reserve]]+Payroll_Data_Analysis[[#This Row],[11-Month Salary]]</f>
        <v>639822.96928327647</v>
      </c>
      <c r="V297" s="7">
        <f>Payroll_Data_Analysis[[#This Row],[Payroll Taxes (KPI Bonus)]]+Payroll_Data_Analysis[[#This Row],[Payroll Taxes (Vacation)]]+Payroll_Data_Analysis[[#This Row],[Payroll Taxes (Salary)]]</f>
        <v>193226.53672354948</v>
      </c>
      <c r="W297" s="13">
        <f>Payroll_Data_Analysis[[#This Row],[Total Payroll]]+Payroll_Data_Analysis[[#This Row],[Total Payroll Taxes]]</f>
        <v>833049.50600682595</v>
      </c>
    </row>
    <row r="298" spans="1:23">
      <c r="A298" s="11" t="s">
        <v>660</v>
      </c>
      <c r="B298" s="5" t="s">
        <v>301</v>
      </c>
      <c r="C298" s="5" t="s">
        <v>728</v>
      </c>
      <c r="D298" s="28" t="str">
        <f>VLOOKUP(Payroll_Data_Analysis[[#This Row],[Position]],Position_Map!$A$2:$B$58,2,FALSE)</f>
        <v>Facilities</v>
      </c>
      <c r="E298" s="6">
        <v>1</v>
      </c>
      <c r="F298" s="7">
        <v>84000</v>
      </c>
      <c r="G298" s="7">
        <v>35000</v>
      </c>
      <c r="H298" s="7"/>
      <c r="I298" s="7">
        <f>dataset!$F298-dataset!$J298-dataset!$G298-dataset!$H298</f>
        <v>46200</v>
      </c>
      <c r="J298" s="7">
        <f>dataset!$G298*0.08</f>
        <v>2800</v>
      </c>
      <c r="K298" s="7">
        <f>dataset!$F298*12</f>
        <v>1008000</v>
      </c>
      <c r="L298" s="12">
        <f>IF(dataset!$G298&gt;=200000,38%,IF(dataset!$G298&lt;=145000,12.3%,))</f>
        <v>0.12300000000000001</v>
      </c>
      <c r="M298" s="7">
        <f>dataset!$G298*L299*12</f>
        <v>51660</v>
      </c>
      <c r="N29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8" s="7">
        <f>dataset!$K298+dataset!$M298</f>
        <v>1059660</v>
      </c>
      <c r="P298" s="7">
        <f>Payroll_Data_Analysis[[#This Row],[Annual Salary + KPI Bonus]]/12/29.3*31</f>
        <v>93428.498293515368</v>
      </c>
      <c r="Q298" s="7">
        <f>IF(Payroll_Data_Analysis[[#This Row],[Vacation Reserve]]&lt;=2979000,Payroll_Data_Analysis[[#This Row],[Vacation Reserve]]*0.302,2979000*0.302+(Payroll_Data_Analysis[[#This Row],[Vacation Reserve]]-2979000)*0.151)</f>
        <v>28215.40648464164</v>
      </c>
      <c r="R298" s="7">
        <f>Payroll_Data_Analysis[[#This Row],[Monthly Salary]]*11</f>
        <v>924000</v>
      </c>
      <c r="S298" s="7">
        <f>IF(Payroll_Data_Analysis[[#This Row],[11-Month Salary]]&lt;=2979000,Payroll_Data_Analysis[[#This Row],[11-Month Salary]]*0.302,2979000*0.302+(Payroll_Data_Analysis[[#This Row],[11-Month Salary]]-2979000)*0.151)</f>
        <v>279048</v>
      </c>
      <c r="T298" s="7">
        <f>IF(Payroll_Data_Analysis[[#This Row],[Base Salary (Monthly)]]&gt;=200000,69507,IF(Payroll_Data_Analysis[[#This Row],[Base Salary (Monthly)]]&gt;=145000,52684,35103))</f>
        <v>35103</v>
      </c>
      <c r="U298" s="7">
        <f>Payroll_Data_Analysis[[#This Row],[Annual KPI Bonus Reserve]]+Payroll_Data_Analysis[[#This Row],[Vacation Reserve]]+Payroll_Data_Analysis[[#This Row],[11-Month Salary]]</f>
        <v>1069088.4982935153</v>
      </c>
      <c r="V298" s="7">
        <f>Payroll_Data_Analysis[[#This Row],[Payroll Taxes (KPI Bonus)]]+Payroll_Data_Analysis[[#This Row],[Payroll Taxes (Vacation)]]+Payroll_Data_Analysis[[#This Row],[Payroll Taxes (Salary)]]</f>
        <v>322864.72648464167</v>
      </c>
      <c r="W298" s="13">
        <f>Payroll_Data_Analysis[[#This Row],[Total Payroll]]+Payroll_Data_Analysis[[#This Row],[Total Payroll Taxes]]</f>
        <v>1391953.224778157</v>
      </c>
    </row>
    <row r="299" spans="1:23">
      <c r="A299" s="11" t="s">
        <v>660</v>
      </c>
      <c r="B299" s="5" t="s">
        <v>302</v>
      </c>
      <c r="C299" s="5" t="s">
        <v>728</v>
      </c>
      <c r="D299" s="28" t="str">
        <f>VLOOKUP(Payroll_Data_Analysis[[#This Row],[Position]],Position_Map!$A$2:$B$58,2,FALSE)</f>
        <v>Facilities</v>
      </c>
      <c r="E299" s="6">
        <v>1</v>
      </c>
      <c r="F299" s="7">
        <v>40260</v>
      </c>
      <c r="G299" s="7">
        <v>35000</v>
      </c>
      <c r="H299" s="7"/>
      <c r="I299" s="7">
        <f>dataset!$F299-dataset!$J299-dataset!$G299-dataset!$H299</f>
        <v>2460</v>
      </c>
      <c r="J299" s="7">
        <f>dataset!$G299*0.08</f>
        <v>2800</v>
      </c>
      <c r="K299" s="7">
        <f>dataset!$F299*12</f>
        <v>483120</v>
      </c>
      <c r="L299" s="12">
        <f>IF(dataset!$G299&gt;=200000,38%,IF(dataset!$G299&lt;=145000,12.3%,))</f>
        <v>0.12300000000000001</v>
      </c>
      <c r="M299" s="7">
        <f>dataset!$G299*L300*12</f>
        <v>51660</v>
      </c>
      <c r="N29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299" s="7">
        <f>dataset!$K299+dataset!$M299</f>
        <v>534780</v>
      </c>
      <c r="P299" s="7">
        <f>Payroll_Data_Analysis[[#This Row],[Annual Salary + KPI Bonus]]/12/29.3*31</f>
        <v>47150.682593856654</v>
      </c>
      <c r="Q299" s="7">
        <f>IF(Payroll_Data_Analysis[[#This Row],[Vacation Reserve]]&lt;=2979000,Payroll_Data_Analysis[[#This Row],[Vacation Reserve]]*0.302,2979000*0.302+(Payroll_Data_Analysis[[#This Row],[Vacation Reserve]]-2979000)*0.151)</f>
        <v>14239.50614334471</v>
      </c>
      <c r="R299" s="7">
        <f>Payroll_Data_Analysis[[#This Row],[Monthly Salary]]*11</f>
        <v>442860</v>
      </c>
      <c r="S299" s="7">
        <f>IF(Payroll_Data_Analysis[[#This Row],[11-Month Salary]]&lt;=2979000,Payroll_Data_Analysis[[#This Row],[11-Month Salary]]*0.302,2979000*0.302+(Payroll_Data_Analysis[[#This Row],[11-Month Salary]]-2979000)*0.151)</f>
        <v>133743.72</v>
      </c>
      <c r="T299" s="7">
        <f>IF(Payroll_Data_Analysis[[#This Row],[Base Salary (Monthly)]]&gt;=200000,69507,IF(Payroll_Data_Analysis[[#This Row],[Base Salary (Monthly)]]&gt;=145000,52684,35103))</f>
        <v>35103</v>
      </c>
      <c r="U299" s="7">
        <f>Payroll_Data_Analysis[[#This Row],[Annual KPI Bonus Reserve]]+Payroll_Data_Analysis[[#This Row],[Vacation Reserve]]+Payroll_Data_Analysis[[#This Row],[11-Month Salary]]</f>
        <v>541670.68259385671</v>
      </c>
      <c r="V299" s="7">
        <f>Payroll_Data_Analysis[[#This Row],[Payroll Taxes (KPI Bonus)]]+Payroll_Data_Analysis[[#This Row],[Payroll Taxes (Vacation)]]+Payroll_Data_Analysis[[#This Row],[Payroll Taxes (Salary)]]</f>
        <v>163584.54614334472</v>
      </c>
      <c r="W299" s="13">
        <f>Payroll_Data_Analysis[[#This Row],[Total Payroll]]+Payroll_Data_Analysis[[#This Row],[Total Payroll Taxes]]</f>
        <v>705255.22873720143</v>
      </c>
    </row>
    <row r="300" spans="1:23">
      <c r="A300" s="11" t="s">
        <v>660</v>
      </c>
      <c r="B300" s="5" t="s">
        <v>303</v>
      </c>
      <c r="C300" s="5" t="s">
        <v>728</v>
      </c>
      <c r="D300" s="28" t="str">
        <f>VLOOKUP(Payroll_Data_Analysis[[#This Row],[Position]],Position_Map!$A$2:$B$58,2,FALSE)</f>
        <v>Facilities</v>
      </c>
      <c r="E300" s="6">
        <v>1</v>
      </c>
      <c r="F300" s="7">
        <v>47000</v>
      </c>
      <c r="G300" s="7">
        <v>35000</v>
      </c>
      <c r="H300" s="7"/>
      <c r="I300" s="7">
        <f>dataset!$F300-dataset!$J300-dataset!$G300-dataset!$H300</f>
        <v>9200</v>
      </c>
      <c r="J300" s="7">
        <f>dataset!$G300*0.08</f>
        <v>2800</v>
      </c>
      <c r="K300" s="7">
        <f>dataset!$F300*12</f>
        <v>564000</v>
      </c>
      <c r="L300" s="12">
        <f>IF(dataset!$G300&gt;=200000,38%,IF(dataset!$G300&lt;=145000,12.3%,))</f>
        <v>0.12300000000000001</v>
      </c>
      <c r="M300" s="7">
        <f>dataset!$G300*L301*12</f>
        <v>51660</v>
      </c>
      <c r="N30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0" s="7">
        <f>dataset!$K300+dataset!$M300</f>
        <v>615660</v>
      </c>
      <c r="P300" s="7">
        <f>Payroll_Data_Analysis[[#This Row],[Annual Salary + KPI Bonus]]/12/29.3*31</f>
        <v>54281.740614334471</v>
      </c>
      <c r="Q300" s="7">
        <f>IF(Payroll_Data_Analysis[[#This Row],[Vacation Reserve]]&lt;=2979000,Payroll_Data_Analysis[[#This Row],[Vacation Reserve]]*0.302,2979000*0.302+(Payroll_Data_Analysis[[#This Row],[Vacation Reserve]]-2979000)*0.151)</f>
        <v>16393.085665529008</v>
      </c>
      <c r="R300" s="7">
        <f>Payroll_Data_Analysis[[#This Row],[Monthly Salary]]*11</f>
        <v>517000</v>
      </c>
      <c r="S300" s="7">
        <f>IF(Payroll_Data_Analysis[[#This Row],[11-Month Salary]]&lt;=2979000,Payroll_Data_Analysis[[#This Row],[11-Month Salary]]*0.302,2979000*0.302+(Payroll_Data_Analysis[[#This Row],[11-Month Salary]]-2979000)*0.151)</f>
        <v>156134</v>
      </c>
      <c r="T300" s="7">
        <f>IF(Payroll_Data_Analysis[[#This Row],[Base Salary (Monthly)]]&gt;=200000,69507,IF(Payroll_Data_Analysis[[#This Row],[Base Salary (Monthly)]]&gt;=145000,52684,35103))</f>
        <v>35103</v>
      </c>
      <c r="U300" s="7">
        <f>Payroll_Data_Analysis[[#This Row],[Annual KPI Bonus Reserve]]+Payroll_Data_Analysis[[#This Row],[Vacation Reserve]]+Payroll_Data_Analysis[[#This Row],[11-Month Salary]]</f>
        <v>622941.74061433447</v>
      </c>
      <c r="V300" s="7">
        <f>Payroll_Data_Analysis[[#This Row],[Payroll Taxes (KPI Bonus)]]+Payroll_Data_Analysis[[#This Row],[Payroll Taxes (Vacation)]]+Payroll_Data_Analysis[[#This Row],[Payroll Taxes (Salary)]]</f>
        <v>188128.40566552902</v>
      </c>
      <c r="W300" s="13">
        <f>Payroll_Data_Analysis[[#This Row],[Total Payroll]]+Payroll_Data_Analysis[[#This Row],[Total Payroll Taxes]]</f>
        <v>811070.14627986355</v>
      </c>
    </row>
    <row r="301" spans="1:23">
      <c r="A301" s="11" t="s">
        <v>660</v>
      </c>
      <c r="B301" s="5" t="s">
        <v>304</v>
      </c>
      <c r="C301" s="5" t="s">
        <v>728</v>
      </c>
      <c r="D301" s="28" t="str">
        <f>VLOOKUP(Payroll_Data_Analysis[[#This Row],[Position]],Position_Map!$A$2:$B$58,2,FALSE)</f>
        <v>Facilities</v>
      </c>
      <c r="E301" s="6">
        <v>1</v>
      </c>
      <c r="F301" s="7">
        <v>40260</v>
      </c>
      <c r="G301" s="7">
        <v>35000</v>
      </c>
      <c r="H301" s="7"/>
      <c r="I301" s="7">
        <f>dataset!$F301-dataset!$J301-dataset!$G301-dataset!$H301</f>
        <v>2460</v>
      </c>
      <c r="J301" s="7">
        <f>dataset!$G301*0.08</f>
        <v>2800</v>
      </c>
      <c r="K301" s="7">
        <f>dataset!$F301*12</f>
        <v>483120</v>
      </c>
      <c r="L301" s="12">
        <f>IF(dataset!$G301&gt;=200000,38%,IF(dataset!$G301&lt;=145000,12.3%,))</f>
        <v>0.12300000000000001</v>
      </c>
      <c r="M301" s="7">
        <f>dataset!$G301*L302*12</f>
        <v>51660</v>
      </c>
      <c r="N30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1" s="7">
        <f>dataset!$K301+dataset!$M301</f>
        <v>534780</v>
      </c>
      <c r="P301" s="7">
        <f>Payroll_Data_Analysis[[#This Row],[Annual Salary + KPI Bonus]]/12/29.3*31</f>
        <v>47150.682593856654</v>
      </c>
      <c r="Q301" s="7">
        <f>IF(Payroll_Data_Analysis[[#This Row],[Vacation Reserve]]&lt;=2979000,Payroll_Data_Analysis[[#This Row],[Vacation Reserve]]*0.302,2979000*0.302+(Payroll_Data_Analysis[[#This Row],[Vacation Reserve]]-2979000)*0.151)</f>
        <v>14239.50614334471</v>
      </c>
      <c r="R301" s="7">
        <f>Payroll_Data_Analysis[[#This Row],[Monthly Salary]]*11</f>
        <v>442860</v>
      </c>
      <c r="S301" s="7">
        <f>IF(Payroll_Data_Analysis[[#This Row],[11-Month Salary]]&lt;=2979000,Payroll_Data_Analysis[[#This Row],[11-Month Salary]]*0.302,2979000*0.302+(Payroll_Data_Analysis[[#This Row],[11-Month Salary]]-2979000)*0.151)</f>
        <v>133743.72</v>
      </c>
      <c r="T301" s="7">
        <f>IF(Payroll_Data_Analysis[[#This Row],[Base Salary (Monthly)]]&gt;=200000,69507,IF(Payroll_Data_Analysis[[#This Row],[Base Salary (Monthly)]]&gt;=145000,52684,35103))</f>
        <v>35103</v>
      </c>
      <c r="U301" s="7">
        <f>Payroll_Data_Analysis[[#This Row],[Annual KPI Bonus Reserve]]+Payroll_Data_Analysis[[#This Row],[Vacation Reserve]]+Payroll_Data_Analysis[[#This Row],[11-Month Salary]]</f>
        <v>541670.68259385671</v>
      </c>
      <c r="V301" s="7">
        <f>Payroll_Data_Analysis[[#This Row],[Payroll Taxes (KPI Bonus)]]+Payroll_Data_Analysis[[#This Row],[Payroll Taxes (Vacation)]]+Payroll_Data_Analysis[[#This Row],[Payroll Taxes (Salary)]]</f>
        <v>163584.54614334472</v>
      </c>
      <c r="W301" s="13">
        <f>Payroll_Data_Analysis[[#This Row],[Total Payroll]]+Payroll_Data_Analysis[[#This Row],[Total Payroll Taxes]]</f>
        <v>705255.22873720143</v>
      </c>
    </row>
    <row r="302" spans="1:23">
      <c r="A302" s="11" t="s">
        <v>660</v>
      </c>
      <c r="B302" s="5" t="s">
        <v>305</v>
      </c>
      <c r="C302" s="5" t="s">
        <v>728</v>
      </c>
      <c r="D302" s="28" t="str">
        <f>VLOOKUP(Payroll_Data_Analysis[[#This Row],[Position]],Position_Map!$A$2:$B$58,2,FALSE)</f>
        <v>Facilities</v>
      </c>
      <c r="E302" s="15">
        <v>1</v>
      </c>
      <c r="F302" s="16">
        <v>40260</v>
      </c>
      <c r="G302" s="16">
        <v>35000</v>
      </c>
      <c r="H302" s="16"/>
      <c r="I302" s="16">
        <f>dataset!$F302-dataset!$J302-dataset!$G302-dataset!$H302</f>
        <v>2460</v>
      </c>
      <c r="J302" s="16">
        <f>dataset!$G302*0.08</f>
        <v>2800</v>
      </c>
      <c r="K302" s="16">
        <f>dataset!$F302*12</f>
        <v>483120</v>
      </c>
      <c r="L302" s="12">
        <f>IF(dataset!$G302&gt;=200000,38%,IF(dataset!$G302&lt;=145000,12.3%,))</f>
        <v>0.12300000000000001</v>
      </c>
      <c r="M302" s="7">
        <f>dataset!$G302*L303*12</f>
        <v>51660</v>
      </c>
      <c r="N30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2" s="7">
        <f>dataset!$K302+dataset!$M302</f>
        <v>534780</v>
      </c>
      <c r="P302" s="7">
        <f>Payroll_Data_Analysis[[#This Row],[Annual Salary + KPI Bonus]]/12/29.3*31</f>
        <v>47150.682593856654</v>
      </c>
      <c r="Q302" s="7">
        <f>IF(Payroll_Data_Analysis[[#This Row],[Vacation Reserve]]&lt;=2979000,Payroll_Data_Analysis[[#This Row],[Vacation Reserve]]*0.302,2979000*0.302+(Payroll_Data_Analysis[[#This Row],[Vacation Reserve]]-2979000)*0.151)</f>
        <v>14239.50614334471</v>
      </c>
      <c r="R302" s="7">
        <f>Payroll_Data_Analysis[[#This Row],[Monthly Salary]]*11</f>
        <v>442860</v>
      </c>
      <c r="S302" s="7">
        <f>IF(Payroll_Data_Analysis[[#This Row],[11-Month Salary]]&lt;=2979000,Payroll_Data_Analysis[[#This Row],[11-Month Salary]]*0.302,2979000*0.302+(Payroll_Data_Analysis[[#This Row],[11-Month Salary]]-2979000)*0.151)</f>
        <v>133743.72</v>
      </c>
      <c r="T302" s="7">
        <f>IF(Payroll_Data_Analysis[[#This Row],[Base Salary (Monthly)]]&gt;=200000,69507,IF(Payroll_Data_Analysis[[#This Row],[Base Salary (Monthly)]]&gt;=145000,52684,35103))</f>
        <v>35103</v>
      </c>
      <c r="U302" s="7">
        <f>Payroll_Data_Analysis[[#This Row],[Annual KPI Bonus Reserve]]+Payroll_Data_Analysis[[#This Row],[Vacation Reserve]]+Payroll_Data_Analysis[[#This Row],[11-Month Salary]]</f>
        <v>541670.68259385671</v>
      </c>
      <c r="V302" s="7">
        <f>Payroll_Data_Analysis[[#This Row],[Payroll Taxes (KPI Bonus)]]+Payroll_Data_Analysis[[#This Row],[Payroll Taxes (Vacation)]]+Payroll_Data_Analysis[[#This Row],[Payroll Taxes (Salary)]]</f>
        <v>163584.54614334472</v>
      </c>
      <c r="W302" s="13">
        <f>Payroll_Data_Analysis[[#This Row],[Total Payroll]]+Payroll_Data_Analysis[[#This Row],[Total Payroll Taxes]]</f>
        <v>705255.22873720143</v>
      </c>
    </row>
    <row r="303" spans="1:23">
      <c r="A303" s="11" t="s">
        <v>660</v>
      </c>
      <c r="B303" s="5" t="s">
        <v>306</v>
      </c>
      <c r="C303" s="5" t="s">
        <v>728</v>
      </c>
      <c r="D303" s="28" t="str">
        <f>VLOOKUP(Payroll_Data_Analysis[[#This Row],[Position]],Position_Map!$A$2:$B$58,2,FALSE)</f>
        <v>Facilities</v>
      </c>
      <c r="E303" s="15">
        <v>1</v>
      </c>
      <c r="F303" s="16">
        <v>40260</v>
      </c>
      <c r="G303" s="16">
        <v>35000</v>
      </c>
      <c r="H303" s="16"/>
      <c r="I303" s="16">
        <f>dataset!$F303-dataset!$J303-dataset!$G303-dataset!$H303</f>
        <v>2460</v>
      </c>
      <c r="J303" s="16">
        <f>dataset!$G303*0.08</f>
        <v>2800</v>
      </c>
      <c r="K303" s="16">
        <f>dataset!$F303*12</f>
        <v>483120</v>
      </c>
      <c r="L303" s="12">
        <f>IF(dataset!$G303&gt;=200000,38%,IF(dataset!$G303&lt;=145000,12.3%,))</f>
        <v>0.12300000000000001</v>
      </c>
      <c r="M303" s="7">
        <f>dataset!$G303*L304*12</f>
        <v>51660</v>
      </c>
      <c r="N30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3" s="7">
        <f>dataset!$K303+dataset!$M303</f>
        <v>534780</v>
      </c>
      <c r="P303" s="7">
        <f>Payroll_Data_Analysis[[#This Row],[Annual Salary + KPI Bonus]]/12/29.3*31</f>
        <v>47150.682593856654</v>
      </c>
      <c r="Q303" s="7">
        <f>IF(Payroll_Data_Analysis[[#This Row],[Vacation Reserve]]&lt;=2979000,Payroll_Data_Analysis[[#This Row],[Vacation Reserve]]*0.302,2979000*0.302+(Payroll_Data_Analysis[[#This Row],[Vacation Reserve]]-2979000)*0.151)</f>
        <v>14239.50614334471</v>
      </c>
      <c r="R303" s="7">
        <f>Payroll_Data_Analysis[[#This Row],[Monthly Salary]]*11</f>
        <v>442860</v>
      </c>
      <c r="S303" s="7">
        <f>IF(Payroll_Data_Analysis[[#This Row],[11-Month Salary]]&lt;=2979000,Payroll_Data_Analysis[[#This Row],[11-Month Salary]]*0.302,2979000*0.302+(Payroll_Data_Analysis[[#This Row],[11-Month Salary]]-2979000)*0.151)</f>
        <v>133743.72</v>
      </c>
      <c r="T303" s="7">
        <f>IF(Payroll_Data_Analysis[[#This Row],[Base Salary (Monthly)]]&gt;=200000,69507,IF(Payroll_Data_Analysis[[#This Row],[Base Salary (Monthly)]]&gt;=145000,52684,35103))</f>
        <v>35103</v>
      </c>
      <c r="U303" s="7">
        <f>Payroll_Data_Analysis[[#This Row],[Annual KPI Bonus Reserve]]+Payroll_Data_Analysis[[#This Row],[Vacation Reserve]]+Payroll_Data_Analysis[[#This Row],[11-Month Salary]]</f>
        <v>541670.68259385671</v>
      </c>
      <c r="V303" s="7">
        <f>Payroll_Data_Analysis[[#This Row],[Payroll Taxes (KPI Bonus)]]+Payroll_Data_Analysis[[#This Row],[Payroll Taxes (Vacation)]]+Payroll_Data_Analysis[[#This Row],[Payroll Taxes (Salary)]]</f>
        <v>163584.54614334472</v>
      </c>
      <c r="W303" s="13">
        <f>Payroll_Data_Analysis[[#This Row],[Total Payroll]]+Payroll_Data_Analysis[[#This Row],[Total Payroll Taxes]]</f>
        <v>705255.22873720143</v>
      </c>
    </row>
    <row r="304" spans="1:23">
      <c r="A304" s="11" t="s">
        <v>660</v>
      </c>
      <c r="B304" s="5" t="s">
        <v>307</v>
      </c>
      <c r="C304" s="5" t="s">
        <v>727</v>
      </c>
      <c r="D304" s="28" t="str">
        <f>VLOOKUP(Payroll_Data_Analysis[[#This Row],[Position]],Position_Map!$A$2:$B$58,2,FALSE)</f>
        <v>Operations</v>
      </c>
      <c r="E304" s="15">
        <v>1</v>
      </c>
      <c r="F304" s="16">
        <v>64000</v>
      </c>
      <c r="G304" s="16">
        <v>35000</v>
      </c>
      <c r="H304" s="16"/>
      <c r="I304" s="16">
        <f>dataset!$F304-dataset!$J304-dataset!$G304-dataset!$H304</f>
        <v>26200</v>
      </c>
      <c r="J304" s="16">
        <f>dataset!$G304*0.08</f>
        <v>2800</v>
      </c>
      <c r="K304" s="16">
        <f>dataset!$F304*12</f>
        <v>768000</v>
      </c>
      <c r="L304" s="12">
        <f>IF(dataset!$G304&gt;=200000,38%,IF(dataset!$G304&lt;=145000,12.3%,))</f>
        <v>0.12300000000000001</v>
      </c>
      <c r="M304" s="7">
        <f>dataset!$G304*L305*12</f>
        <v>51660</v>
      </c>
      <c r="N30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4" s="7">
        <f>dataset!$K304+dataset!$M304</f>
        <v>819660</v>
      </c>
      <c r="P304" s="7">
        <f>Payroll_Data_Analysis[[#This Row],[Annual Salary + KPI Bonus]]/12/29.3*31</f>
        <v>72268.088737201353</v>
      </c>
      <c r="Q304" s="7">
        <f>IF(Payroll_Data_Analysis[[#This Row],[Vacation Reserve]]&lt;=2979000,Payroll_Data_Analysis[[#This Row],[Vacation Reserve]]*0.302,2979000*0.302+(Payroll_Data_Analysis[[#This Row],[Vacation Reserve]]-2979000)*0.151)</f>
        <v>21824.96279863481</v>
      </c>
      <c r="R304" s="7">
        <f>Payroll_Data_Analysis[[#This Row],[Monthly Salary]]*11</f>
        <v>704000</v>
      </c>
      <c r="S304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304" s="7">
        <f>IF(Payroll_Data_Analysis[[#This Row],[Base Salary (Monthly)]]&gt;=200000,69507,IF(Payroll_Data_Analysis[[#This Row],[Base Salary (Monthly)]]&gt;=145000,52684,35103))</f>
        <v>35103</v>
      </c>
      <c r="U304" s="7">
        <f>Payroll_Data_Analysis[[#This Row],[Annual KPI Bonus Reserve]]+Payroll_Data_Analysis[[#This Row],[Vacation Reserve]]+Payroll_Data_Analysis[[#This Row],[11-Month Salary]]</f>
        <v>827928.08873720141</v>
      </c>
      <c r="V304" s="7">
        <f>Payroll_Data_Analysis[[#This Row],[Payroll Taxes (KPI Bonus)]]+Payroll_Data_Analysis[[#This Row],[Payroll Taxes (Vacation)]]+Payroll_Data_Analysis[[#This Row],[Payroll Taxes (Salary)]]</f>
        <v>250034.28279863481</v>
      </c>
      <c r="W304" s="13">
        <f>Payroll_Data_Analysis[[#This Row],[Total Payroll]]+Payroll_Data_Analysis[[#This Row],[Total Payroll Taxes]]</f>
        <v>1077962.3715358363</v>
      </c>
    </row>
    <row r="305" spans="1:23">
      <c r="A305" s="11" t="s">
        <v>660</v>
      </c>
      <c r="B305" s="5" t="s">
        <v>308</v>
      </c>
      <c r="C305" s="5" t="s">
        <v>727</v>
      </c>
      <c r="D305" s="28" t="str">
        <f>VLOOKUP(Payroll_Data_Analysis[[#This Row],[Position]],Position_Map!$A$2:$B$58,2,FALSE)</f>
        <v>Operations</v>
      </c>
      <c r="E305" s="15">
        <v>1</v>
      </c>
      <c r="F305" s="16">
        <v>64000</v>
      </c>
      <c r="G305" s="16">
        <v>35000</v>
      </c>
      <c r="H305" s="16"/>
      <c r="I305" s="16">
        <f>dataset!$F305-dataset!$J305-dataset!$G305-dataset!$H305</f>
        <v>26200</v>
      </c>
      <c r="J305" s="16">
        <f>dataset!$G305*0.08</f>
        <v>2800</v>
      </c>
      <c r="K305" s="16">
        <f>dataset!$F305*12</f>
        <v>768000</v>
      </c>
      <c r="L305" s="12">
        <f>IF(dataset!$G305&gt;=200000,38%,IF(dataset!$G305&lt;=145000,12.3%,))</f>
        <v>0.12300000000000001</v>
      </c>
      <c r="M305" s="7">
        <f>dataset!$G305*L306*12</f>
        <v>51660</v>
      </c>
      <c r="N30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5" s="7">
        <f>dataset!$K305+dataset!$M305</f>
        <v>819660</v>
      </c>
      <c r="P305" s="7">
        <f>Payroll_Data_Analysis[[#This Row],[Annual Salary + KPI Bonus]]/12/29.3*31</f>
        <v>72268.088737201353</v>
      </c>
      <c r="Q305" s="7">
        <f>IF(Payroll_Data_Analysis[[#This Row],[Vacation Reserve]]&lt;=2979000,Payroll_Data_Analysis[[#This Row],[Vacation Reserve]]*0.302,2979000*0.302+(Payroll_Data_Analysis[[#This Row],[Vacation Reserve]]-2979000)*0.151)</f>
        <v>21824.96279863481</v>
      </c>
      <c r="R305" s="7">
        <f>Payroll_Data_Analysis[[#This Row],[Monthly Salary]]*11</f>
        <v>704000</v>
      </c>
      <c r="S305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305" s="7">
        <f>IF(Payroll_Data_Analysis[[#This Row],[Base Salary (Monthly)]]&gt;=200000,69507,IF(Payroll_Data_Analysis[[#This Row],[Base Salary (Monthly)]]&gt;=145000,52684,35103))</f>
        <v>35103</v>
      </c>
      <c r="U305" s="7">
        <f>Payroll_Data_Analysis[[#This Row],[Annual KPI Bonus Reserve]]+Payroll_Data_Analysis[[#This Row],[Vacation Reserve]]+Payroll_Data_Analysis[[#This Row],[11-Month Salary]]</f>
        <v>827928.08873720141</v>
      </c>
      <c r="V305" s="7">
        <f>Payroll_Data_Analysis[[#This Row],[Payroll Taxes (KPI Bonus)]]+Payroll_Data_Analysis[[#This Row],[Payroll Taxes (Vacation)]]+Payroll_Data_Analysis[[#This Row],[Payroll Taxes (Salary)]]</f>
        <v>250034.28279863481</v>
      </c>
      <c r="W305" s="13">
        <f>Payroll_Data_Analysis[[#This Row],[Total Payroll]]+Payroll_Data_Analysis[[#This Row],[Total Payroll Taxes]]</f>
        <v>1077962.3715358363</v>
      </c>
    </row>
    <row r="306" spans="1:23">
      <c r="A306" s="11" t="s">
        <v>660</v>
      </c>
      <c r="B306" s="5" t="s">
        <v>309</v>
      </c>
      <c r="C306" s="5" t="s">
        <v>727</v>
      </c>
      <c r="D306" s="28" t="str">
        <f>VLOOKUP(Payroll_Data_Analysis[[#This Row],[Position]],Position_Map!$A$2:$B$58,2,FALSE)</f>
        <v>Operations</v>
      </c>
      <c r="E306" s="15">
        <v>1</v>
      </c>
      <c r="F306" s="16">
        <v>64000</v>
      </c>
      <c r="G306" s="16">
        <v>35000</v>
      </c>
      <c r="H306" s="16"/>
      <c r="I306" s="16">
        <f>dataset!$F306-dataset!$J306-dataset!$G306-dataset!$H306</f>
        <v>26200</v>
      </c>
      <c r="J306" s="16">
        <f>dataset!$G306*0.08</f>
        <v>2800</v>
      </c>
      <c r="K306" s="16">
        <f>dataset!$F306*12</f>
        <v>768000</v>
      </c>
      <c r="L306" s="12">
        <f>IF(dataset!$G306&gt;=200000,38%,IF(dataset!$G306&lt;=145000,12.3%,))</f>
        <v>0.12300000000000001</v>
      </c>
      <c r="M306" s="7">
        <f>dataset!$G306*L307*12</f>
        <v>51660</v>
      </c>
      <c r="N30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6" s="7">
        <f>dataset!$K306+dataset!$M306</f>
        <v>819660</v>
      </c>
      <c r="P306" s="7">
        <f>Payroll_Data_Analysis[[#This Row],[Annual Salary + KPI Bonus]]/12/29.3*31</f>
        <v>72268.088737201353</v>
      </c>
      <c r="Q306" s="7">
        <f>IF(Payroll_Data_Analysis[[#This Row],[Vacation Reserve]]&lt;=2979000,Payroll_Data_Analysis[[#This Row],[Vacation Reserve]]*0.302,2979000*0.302+(Payroll_Data_Analysis[[#This Row],[Vacation Reserve]]-2979000)*0.151)</f>
        <v>21824.96279863481</v>
      </c>
      <c r="R306" s="7">
        <f>Payroll_Data_Analysis[[#This Row],[Monthly Salary]]*11</f>
        <v>704000</v>
      </c>
      <c r="S306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306" s="7">
        <f>IF(Payroll_Data_Analysis[[#This Row],[Base Salary (Monthly)]]&gt;=200000,69507,IF(Payroll_Data_Analysis[[#This Row],[Base Salary (Monthly)]]&gt;=145000,52684,35103))</f>
        <v>35103</v>
      </c>
      <c r="U306" s="7">
        <f>Payroll_Data_Analysis[[#This Row],[Annual KPI Bonus Reserve]]+Payroll_Data_Analysis[[#This Row],[Vacation Reserve]]+Payroll_Data_Analysis[[#This Row],[11-Month Salary]]</f>
        <v>827928.08873720141</v>
      </c>
      <c r="V306" s="7">
        <f>Payroll_Data_Analysis[[#This Row],[Payroll Taxes (KPI Bonus)]]+Payroll_Data_Analysis[[#This Row],[Payroll Taxes (Vacation)]]+Payroll_Data_Analysis[[#This Row],[Payroll Taxes (Salary)]]</f>
        <v>250034.28279863481</v>
      </c>
      <c r="W306" s="13">
        <f>Payroll_Data_Analysis[[#This Row],[Total Payroll]]+Payroll_Data_Analysis[[#This Row],[Total Payroll Taxes]]</f>
        <v>1077962.3715358363</v>
      </c>
    </row>
    <row r="307" spans="1:23">
      <c r="A307" s="11" t="s">
        <v>660</v>
      </c>
      <c r="B307" s="5" t="s">
        <v>310</v>
      </c>
      <c r="C307" s="5" t="s">
        <v>727</v>
      </c>
      <c r="D307" s="28" t="str">
        <f>VLOOKUP(Payroll_Data_Analysis[[#This Row],[Position]],Position_Map!$A$2:$B$58,2,FALSE)</f>
        <v>Operations</v>
      </c>
      <c r="E307" s="15">
        <v>1</v>
      </c>
      <c r="F307" s="16">
        <v>64000</v>
      </c>
      <c r="G307" s="16">
        <v>35000</v>
      </c>
      <c r="H307" s="16"/>
      <c r="I307" s="16">
        <f>dataset!$F307-dataset!$J307-dataset!$G307-dataset!$H307</f>
        <v>26200</v>
      </c>
      <c r="J307" s="16">
        <f>dataset!$G307*0.08</f>
        <v>2800</v>
      </c>
      <c r="K307" s="16">
        <f>dataset!$F307*12</f>
        <v>768000</v>
      </c>
      <c r="L307" s="12">
        <f>IF(dataset!$G307&gt;=200000,38%,IF(dataset!$G307&lt;=145000,12.3%,))</f>
        <v>0.12300000000000001</v>
      </c>
      <c r="M307" s="7">
        <f>dataset!$G307*L308*12</f>
        <v>51660</v>
      </c>
      <c r="N30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07" s="7">
        <f>dataset!$K307+dataset!$M307</f>
        <v>819660</v>
      </c>
      <c r="P307" s="7">
        <f>Payroll_Data_Analysis[[#This Row],[Annual Salary + KPI Bonus]]/12/29.3*31</f>
        <v>72268.088737201353</v>
      </c>
      <c r="Q307" s="7">
        <f>IF(Payroll_Data_Analysis[[#This Row],[Vacation Reserve]]&lt;=2979000,Payroll_Data_Analysis[[#This Row],[Vacation Reserve]]*0.302,2979000*0.302+(Payroll_Data_Analysis[[#This Row],[Vacation Reserve]]-2979000)*0.151)</f>
        <v>21824.96279863481</v>
      </c>
      <c r="R307" s="7">
        <f>Payroll_Data_Analysis[[#This Row],[Monthly Salary]]*11</f>
        <v>704000</v>
      </c>
      <c r="S307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307" s="7">
        <f>IF(Payroll_Data_Analysis[[#This Row],[Base Salary (Monthly)]]&gt;=200000,69507,IF(Payroll_Data_Analysis[[#This Row],[Base Salary (Monthly)]]&gt;=145000,52684,35103))</f>
        <v>35103</v>
      </c>
      <c r="U307" s="7">
        <f>Payroll_Data_Analysis[[#This Row],[Annual KPI Bonus Reserve]]+Payroll_Data_Analysis[[#This Row],[Vacation Reserve]]+Payroll_Data_Analysis[[#This Row],[11-Month Salary]]</f>
        <v>827928.08873720141</v>
      </c>
      <c r="V307" s="7">
        <f>Payroll_Data_Analysis[[#This Row],[Payroll Taxes (KPI Bonus)]]+Payroll_Data_Analysis[[#This Row],[Payroll Taxes (Vacation)]]+Payroll_Data_Analysis[[#This Row],[Payroll Taxes (Salary)]]</f>
        <v>250034.28279863481</v>
      </c>
      <c r="W307" s="13">
        <f>Payroll_Data_Analysis[[#This Row],[Total Payroll]]+Payroll_Data_Analysis[[#This Row],[Total Payroll Taxes]]</f>
        <v>1077962.3715358363</v>
      </c>
    </row>
    <row r="308" spans="1:23">
      <c r="A308" s="11" t="s">
        <v>662</v>
      </c>
      <c r="B308" s="5" t="s">
        <v>311</v>
      </c>
      <c r="C308" s="5" t="s">
        <v>729</v>
      </c>
      <c r="D308" s="28" t="str">
        <f>VLOOKUP(Payroll_Data_Analysis[[#This Row],[Position]],Position_Map!$A$2:$B$58,2,FALSE)</f>
        <v>Engineering</v>
      </c>
      <c r="E308" s="15">
        <v>1</v>
      </c>
      <c r="F308" s="16">
        <v>184100</v>
      </c>
      <c r="G308" s="16">
        <v>145000</v>
      </c>
      <c r="H308" s="16"/>
      <c r="I308" s="16">
        <f>dataset!$F308-dataset!$J308-dataset!$G308-dataset!$H308</f>
        <v>27500</v>
      </c>
      <c r="J308" s="16">
        <f>dataset!$G308*0.08</f>
        <v>11600</v>
      </c>
      <c r="K308" s="16">
        <f>dataset!$F308*12</f>
        <v>2209200</v>
      </c>
      <c r="L308" s="12">
        <f>IF(dataset!$G308&gt;=200000,38%,IF(dataset!$G308&lt;=145000,12.3%,))</f>
        <v>0.12300000000000001</v>
      </c>
      <c r="M308" s="7">
        <f>dataset!$G308*L309*12</f>
        <v>214020</v>
      </c>
      <c r="N30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08" s="7">
        <f>dataset!$K308+dataset!$M308</f>
        <v>2423220</v>
      </c>
      <c r="P308" s="7">
        <f>Payroll_Data_Analysis[[#This Row],[Annual Salary + KPI Bonus]]/12/29.3*31</f>
        <v>213651.36518771332</v>
      </c>
      <c r="Q308" s="7">
        <f>IF(Payroll_Data_Analysis[[#This Row],[Vacation Reserve]]&lt;=2979000,Payroll_Data_Analysis[[#This Row],[Vacation Reserve]]*0.302,2979000*0.302+(Payroll_Data_Analysis[[#This Row],[Vacation Reserve]]-2979000)*0.151)</f>
        <v>64522.712286689421</v>
      </c>
      <c r="R308" s="7">
        <f>Payroll_Data_Analysis[[#This Row],[Monthly Salary]]*11</f>
        <v>2025100</v>
      </c>
      <c r="S308" s="7">
        <f>IF(Payroll_Data_Analysis[[#This Row],[11-Month Salary]]&lt;=2979000,Payroll_Data_Analysis[[#This Row],[11-Month Salary]]*0.302,2979000*0.302+(Payroll_Data_Analysis[[#This Row],[11-Month Salary]]-2979000)*0.151)</f>
        <v>611580.19999999995</v>
      </c>
      <c r="T308" s="7">
        <f>IF(Payroll_Data_Analysis[[#This Row],[Base Salary (Monthly)]]&gt;=200000,69507,IF(Payroll_Data_Analysis[[#This Row],[Base Salary (Monthly)]]&gt;=145000,52684,35103))</f>
        <v>52684</v>
      </c>
      <c r="U308" s="7">
        <f>Payroll_Data_Analysis[[#This Row],[Annual KPI Bonus Reserve]]+Payroll_Data_Analysis[[#This Row],[Vacation Reserve]]+Payroll_Data_Analysis[[#This Row],[11-Month Salary]]</f>
        <v>2452771.3651877134</v>
      </c>
      <c r="V308" s="7">
        <f>Payroll_Data_Analysis[[#This Row],[Payroll Taxes (KPI Bonus)]]+Payroll_Data_Analysis[[#This Row],[Payroll Taxes (Vacation)]]+Payroll_Data_Analysis[[#This Row],[Payroll Taxes (Salary)]]</f>
        <v>740736.95228668931</v>
      </c>
      <c r="W308" s="13">
        <f>Payroll_Data_Analysis[[#This Row],[Total Payroll]]+Payroll_Data_Analysis[[#This Row],[Total Payroll Taxes]]</f>
        <v>3193508.3174744025</v>
      </c>
    </row>
    <row r="309" spans="1:23">
      <c r="A309" s="11" t="s">
        <v>662</v>
      </c>
      <c r="B309" s="5" t="s">
        <v>312</v>
      </c>
      <c r="C309" s="5" t="s">
        <v>730</v>
      </c>
      <c r="D309" s="28" t="str">
        <f>VLOOKUP(Payroll_Data_Analysis[[#This Row],[Position]],Position_Map!$A$2:$B$58,2,FALSE)</f>
        <v>Engineering</v>
      </c>
      <c r="E309" s="15">
        <v>1</v>
      </c>
      <c r="F309" s="16">
        <v>238600</v>
      </c>
      <c r="G309" s="16">
        <v>145000</v>
      </c>
      <c r="H309" s="16"/>
      <c r="I309" s="16">
        <f>dataset!$F309-dataset!$J309-dataset!$G309-dataset!$H309</f>
        <v>82000</v>
      </c>
      <c r="J309" s="16">
        <f>dataset!$G309*0.08</f>
        <v>11600</v>
      </c>
      <c r="K309" s="16">
        <f>dataset!$F309*12</f>
        <v>2863200</v>
      </c>
      <c r="L309" s="12">
        <f>IF(dataset!$G309&gt;=200000,38%,IF(dataset!$G309&lt;=145000,12.3%,))</f>
        <v>0.12300000000000001</v>
      </c>
      <c r="M309" s="7">
        <f>dataset!$G309*L310*12</f>
        <v>214020</v>
      </c>
      <c r="N30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09" s="7">
        <f>dataset!$K309+dataset!$M309</f>
        <v>3077220</v>
      </c>
      <c r="P309" s="7">
        <f>Payroll_Data_Analysis[[#This Row],[Annual Salary + KPI Bonus]]/12/29.3*31</f>
        <v>271313.48122866894</v>
      </c>
      <c r="Q309" s="7">
        <f>IF(Payroll_Data_Analysis[[#This Row],[Vacation Reserve]]&lt;=2979000,Payroll_Data_Analysis[[#This Row],[Vacation Reserve]]*0.302,2979000*0.302+(Payroll_Data_Analysis[[#This Row],[Vacation Reserve]]-2979000)*0.151)</f>
        <v>81936.671331058023</v>
      </c>
      <c r="R309" s="7">
        <f>Payroll_Data_Analysis[[#This Row],[Monthly Salary]]*11</f>
        <v>2624600</v>
      </c>
      <c r="S309" s="7">
        <f>IF(Payroll_Data_Analysis[[#This Row],[11-Month Salary]]&lt;=2979000,Payroll_Data_Analysis[[#This Row],[11-Month Salary]]*0.302,2979000*0.302+(Payroll_Data_Analysis[[#This Row],[11-Month Salary]]-2979000)*0.151)</f>
        <v>792629.2</v>
      </c>
      <c r="T309" s="7">
        <f>IF(Payroll_Data_Analysis[[#This Row],[Base Salary (Monthly)]]&gt;=200000,69507,IF(Payroll_Data_Analysis[[#This Row],[Base Salary (Monthly)]]&gt;=145000,52684,35103))</f>
        <v>52684</v>
      </c>
      <c r="U309" s="7">
        <f>Payroll_Data_Analysis[[#This Row],[Annual KPI Bonus Reserve]]+Payroll_Data_Analysis[[#This Row],[Vacation Reserve]]+Payroll_Data_Analysis[[#This Row],[11-Month Salary]]</f>
        <v>3109933.4812286692</v>
      </c>
      <c r="V309" s="7">
        <f>Payroll_Data_Analysis[[#This Row],[Payroll Taxes (KPI Bonus)]]+Payroll_Data_Analysis[[#This Row],[Payroll Taxes (Vacation)]]+Payroll_Data_Analysis[[#This Row],[Payroll Taxes (Salary)]]</f>
        <v>939199.91133105801</v>
      </c>
      <c r="W309" s="13">
        <f>Payroll_Data_Analysis[[#This Row],[Total Payroll]]+Payroll_Data_Analysis[[#This Row],[Total Payroll Taxes]]</f>
        <v>4049133.3925597272</v>
      </c>
    </row>
    <row r="310" spans="1:23">
      <c r="A310" s="11" t="s">
        <v>662</v>
      </c>
      <c r="B310" s="5" t="s">
        <v>313</v>
      </c>
      <c r="C310" s="5" t="s">
        <v>705</v>
      </c>
      <c r="D310" s="28" t="str">
        <f>VLOOKUP(Payroll_Data_Analysis[[#This Row],[Position]],Position_Map!$A$2:$B$58,2,FALSE)</f>
        <v>Professional</v>
      </c>
      <c r="E310" s="15">
        <v>1</v>
      </c>
      <c r="F310" s="16">
        <v>136000</v>
      </c>
      <c r="G310" s="16">
        <v>145000</v>
      </c>
      <c r="H310" s="16"/>
      <c r="I310" s="16">
        <f>dataset!$F310-dataset!$J310-dataset!$G310-dataset!$H310</f>
        <v>-20600</v>
      </c>
      <c r="J310" s="16">
        <f>dataset!$G310*0.08</f>
        <v>11600</v>
      </c>
      <c r="K310" s="16">
        <f>dataset!$F310*12</f>
        <v>1632000</v>
      </c>
      <c r="L310" s="12">
        <f>IF(dataset!$G310&gt;=200000,38%,IF(dataset!$G310&lt;=145000,12.3%,))</f>
        <v>0.12300000000000001</v>
      </c>
      <c r="M310" s="7">
        <f>dataset!$G310*L311*12</f>
        <v>661200</v>
      </c>
      <c r="N310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310" s="7">
        <f>dataset!$K310+dataset!$M310</f>
        <v>2293200</v>
      </c>
      <c r="P310" s="7">
        <f>Payroll_Data_Analysis[[#This Row],[Annual Salary + KPI Bonus]]/12/29.3*31</f>
        <v>202187.71331058021</v>
      </c>
      <c r="Q310" s="7">
        <f>IF(Payroll_Data_Analysis[[#This Row],[Vacation Reserve]]&lt;=2979000,Payroll_Data_Analysis[[#This Row],[Vacation Reserve]]*0.302,2979000*0.302+(Payroll_Data_Analysis[[#This Row],[Vacation Reserve]]-2979000)*0.151)</f>
        <v>61060.689419795221</v>
      </c>
      <c r="R310" s="7">
        <f>Payroll_Data_Analysis[[#This Row],[Monthly Salary]]*11</f>
        <v>1496000</v>
      </c>
      <c r="S310" s="7">
        <f>IF(Payroll_Data_Analysis[[#This Row],[11-Month Salary]]&lt;=2979000,Payroll_Data_Analysis[[#This Row],[11-Month Salary]]*0.302,2979000*0.302+(Payroll_Data_Analysis[[#This Row],[11-Month Salary]]-2979000)*0.151)</f>
        <v>451792</v>
      </c>
      <c r="T310" s="7">
        <f>IF(Payroll_Data_Analysis[[#This Row],[Base Salary (Monthly)]]&gt;=200000,69507,IF(Payroll_Data_Analysis[[#This Row],[Base Salary (Monthly)]]&gt;=145000,52684,35103))</f>
        <v>52684</v>
      </c>
      <c r="U310" s="7">
        <f>Payroll_Data_Analysis[[#This Row],[Annual KPI Bonus Reserve]]+Payroll_Data_Analysis[[#This Row],[Vacation Reserve]]+Payroll_Data_Analysis[[#This Row],[11-Month Salary]]</f>
        <v>2359387.7133105802</v>
      </c>
      <c r="V310" s="7">
        <f>Payroll_Data_Analysis[[#This Row],[Payroll Taxes (KPI Bonus)]]+Payroll_Data_Analysis[[#This Row],[Payroll Taxes (Vacation)]]+Payroll_Data_Analysis[[#This Row],[Payroll Taxes (Salary)]]</f>
        <v>712535.0894197952</v>
      </c>
      <c r="W310" s="13">
        <f>Payroll_Data_Analysis[[#This Row],[Total Payroll]]+Payroll_Data_Analysis[[#This Row],[Total Payroll Taxes]]</f>
        <v>3071922.8027303754</v>
      </c>
    </row>
    <row r="311" spans="1:23">
      <c r="A311" s="11" t="s">
        <v>663</v>
      </c>
      <c r="B311" s="5" t="s">
        <v>314</v>
      </c>
      <c r="C311" s="5" t="s">
        <v>731</v>
      </c>
      <c r="D311" s="28" t="str">
        <f>VLOOKUP(Payroll_Data_Analysis[[#This Row],[Position]],Position_Map!$A$2:$B$58,2,FALSE)</f>
        <v>Executive</v>
      </c>
      <c r="E311" s="15">
        <v>1</v>
      </c>
      <c r="F311" s="16">
        <v>386000</v>
      </c>
      <c r="G311" s="16">
        <v>200000</v>
      </c>
      <c r="H311" s="16"/>
      <c r="I311" s="16">
        <f>dataset!$F311-dataset!$J311-dataset!$G311-dataset!$H311</f>
        <v>170000</v>
      </c>
      <c r="J311" s="16">
        <f>dataset!$G311*0.08</f>
        <v>16000</v>
      </c>
      <c r="K311" s="16">
        <f>dataset!$F311*12</f>
        <v>4632000</v>
      </c>
      <c r="L311" s="12">
        <f>IF(dataset!$G311&gt;=200000,38%,IF(dataset!$G311&lt;=145000,12.3%,))</f>
        <v>0.38</v>
      </c>
      <c r="M311" s="7">
        <f>dataset!$G311*L312*12</f>
        <v>912000</v>
      </c>
      <c r="N311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311" s="7">
        <f>dataset!$K311+dataset!$M311</f>
        <v>5544000</v>
      </c>
      <c r="P311" s="7">
        <f>Payroll_Data_Analysis[[#This Row],[Annual Salary + KPI Bonus]]/12/29.3*31</f>
        <v>488805.46075085324</v>
      </c>
      <c r="Q311" s="7">
        <f>IF(Payroll_Data_Analysis[[#This Row],[Vacation Reserve]]&lt;=2979000,Payroll_Data_Analysis[[#This Row],[Vacation Reserve]]*0.302,2979000*0.302+(Payroll_Data_Analysis[[#This Row],[Vacation Reserve]]-2979000)*0.151)</f>
        <v>147619.24914675768</v>
      </c>
      <c r="R311" s="7">
        <f>Payroll_Data_Analysis[[#This Row],[Monthly Salary]]*11</f>
        <v>4246000</v>
      </c>
      <c r="S311" s="7">
        <f>IF(Payroll_Data_Analysis[[#This Row],[11-Month Salary]]&lt;=2979000,Payroll_Data_Analysis[[#This Row],[11-Month Salary]]*0.302,2979000*0.302+(Payroll_Data_Analysis[[#This Row],[11-Month Salary]]-2979000)*0.151)</f>
        <v>1090975</v>
      </c>
      <c r="T311" s="7">
        <f>IF(Payroll_Data_Analysis[[#This Row],[Base Salary (Monthly)]]&gt;=200000,69507,IF(Payroll_Data_Analysis[[#This Row],[Base Salary (Monthly)]]&gt;=145000,52684,35103))</f>
        <v>69507</v>
      </c>
      <c r="U311" s="7">
        <f>Payroll_Data_Analysis[[#This Row],[Annual KPI Bonus Reserve]]+Payroll_Data_Analysis[[#This Row],[Vacation Reserve]]+Payroll_Data_Analysis[[#This Row],[11-Month Salary]]</f>
        <v>5646805.4607508536</v>
      </c>
      <c r="V311" s="7">
        <f>Payroll_Data_Analysis[[#This Row],[Payroll Taxes (KPI Bonus)]]+Payroll_Data_Analysis[[#This Row],[Payroll Taxes (Vacation)]]+Payroll_Data_Analysis[[#This Row],[Payroll Taxes (Salary)]]</f>
        <v>1514018.2491467576</v>
      </c>
      <c r="W311" s="13">
        <f>Payroll_Data_Analysis[[#This Row],[Total Payroll]]+Payroll_Data_Analysis[[#This Row],[Total Payroll Taxes]]</f>
        <v>7160823.7098976113</v>
      </c>
    </row>
    <row r="312" spans="1:23">
      <c r="A312" s="11" t="s">
        <v>663</v>
      </c>
      <c r="B312" s="5" t="s">
        <v>315</v>
      </c>
      <c r="C312" s="5" t="s">
        <v>699</v>
      </c>
      <c r="D312" s="28" t="str">
        <f>VLOOKUP(Payroll_Data_Analysis[[#This Row],[Position]],Position_Map!$A$2:$B$58,2,FALSE)</f>
        <v>Professional</v>
      </c>
      <c r="E312" s="15">
        <v>1</v>
      </c>
      <c r="F312" s="16">
        <v>396000</v>
      </c>
      <c r="G312" s="16">
        <v>200000</v>
      </c>
      <c r="H312" s="16"/>
      <c r="I312" s="16">
        <f>dataset!$F312-dataset!$J312-dataset!$G312-dataset!$H312</f>
        <v>180000</v>
      </c>
      <c r="J312" s="16">
        <f>dataset!$G312*0.08</f>
        <v>16000</v>
      </c>
      <c r="K312" s="16">
        <f>dataset!$F312*12</f>
        <v>4752000</v>
      </c>
      <c r="L312" s="12">
        <f>IF(dataset!$G312&gt;=200000,38%,IF(dataset!$G312&lt;=145000,12.3%,))</f>
        <v>0.38</v>
      </c>
      <c r="M312" s="7">
        <f>dataset!$G312*L313*12</f>
        <v>295200.00000000006</v>
      </c>
      <c r="N312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312" s="7">
        <f>dataset!$K312+dataset!$M312</f>
        <v>5047200</v>
      </c>
      <c r="P312" s="7">
        <f>Payroll_Data_Analysis[[#This Row],[Annual Salary + KPI Bonus]]/12/29.3*31</f>
        <v>445003.41296928324</v>
      </c>
      <c r="Q312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312" s="7">
        <f>Payroll_Data_Analysis[[#This Row],[Monthly Salary]]*11</f>
        <v>4356000</v>
      </c>
      <c r="S312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312" s="7">
        <f>IF(Payroll_Data_Analysis[[#This Row],[Base Salary (Monthly)]]&gt;=200000,69507,IF(Payroll_Data_Analysis[[#This Row],[Base Salary (Monthly)]]&gt;=145000,52684,35103))</f>
        <v>69507</v>
      </c>
      <c r="U312" s="7">
        <f>Payroll_Data_Analysis[[#This Row],[Annual KPI Bonus Reserve]]+Payroll_Data_Analysis[[#This Row],[Vacation Reserve]]+Payroll_Data_Analysis[[#This Row],[11-Month Salary]]</f>
        <v>5096203.4129692838</v>
      </c>
      <c r="V312" s="7">
        <f>Payroll_Data_Analysis[[#This Row],[Payroll Taxes (KPI Bonus)]]+Payroll_Data_Analysis[[#This Row],[Payroll Taxes (Vacation)]]+Payroll_Data_Analysis[[#This Row],[Payroll Taxes (Salary)]]</f>
        <v>1331126.4307167237</v>
      </c>
      <c r="W312" s="13">
        <f>Payroll_Data_Analysis[[#This Row],[Total Payroll]]+Payroll_Data_Analysis[[#This Row],[Total Payroll Taxes]]</f>
        <v>6427329.843686007</v>
      </c>
    </row>
    <row r="313" spans="1:23">
      <c r="A313" s="11" t="s">
        <v>663</v>
      </c>
      <c r="B313" s="5" t="s">
        <v>316</v>
      </c>
      <c r="C313" s="5" t="s">
        <v>699</v>
      </c>
      <c r="D313" s="28" t="str">
        <f>VLOOKUP(Payroll_Data_Analysis[[#This Row],[Position]],Position_Map!$A$2:$B$58,2,FALSE)</f>
        <v>Professional</v>
      </c>
      <c r="E313" s="15">
        <v>1</v>
      </c>
      <c r="F313" s="16">
        <v>184100</v>
      </c>
      <c r="G313" s="16">
        <v>145000</v>
      </c>
      <c r="H313" s="16"/>
      <c r="I313" s="16">
        <f>dataset!$F313-dataset!$J313-dataset!$G313-dataset!$H313</f>
        <v>27500</v>
      </c>
      <c r="J313" s="16">
        <f>dataset!$G313*0.08</f>
        <v>11600</v>
      </c>
      <c r="K313" s="16">
        <f>dataset!$F313*12</f>
        <v>2209200</v>
      </c>
      <c r="L313" s="12">
        <f>IF(dataset!$G313&gt;=200000,38%,IF(dataset!$G313&lt;=145000,12.3%,))</f>
        <v>0.12300000000000001</v>
      </c>
      <c r="M313" s="7">
        <f>dataset!$G313*L314*12</f>
        <v>214020</v>
      </c>
      <c r="N31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13" s="7">
        <f>dataset!$K313+dataset!$M313</f>
        <v>2423220</v>
      </c>
      <c r="P313" s="7">
        <f>Payroll_Data_Analysis[[#This Row],[Annual Salary + KPI Bonus]]/12/29.3*31</f>
        <v>213651.36518771332</v>
      </c>
      <c r="Q313" s="7">
        <f>IF(Payroll_Data_Analysis[[#This Row],[Vacation Reserve]]&lt;=2979000,Payroll_Data_Analysis[[#This Row],[Vacation Reserve]]*0.302,2979000*0.302+(Payroll_Data_Analysis[[#This Row],[Vacation Reserve]]-2979000)*0.151)</f>
        <v>64522.712286689421</v>
      </c>
      <c r="R313" s="7">
        <f>Payroll_Data_Analysis[[#This Row],[Monthly Salary]]*11</f>
        <v>2025100</v>
      </c>
      <c r="S313" s="7">
        <f>IF(Payroll_Data_Analysis[[#This Row],[11-Month Salary]]&lt;=2979000,Payroll_Data_Analysis[[#This Row],[11-Month Salary]]*0.302,2979000*0.302+(Payroll_Data_Analysis[[#This Row],[11-Month Salary]]-2979000)*0.151)</f>
        <v>611580.19999999995</v>
      </c>
      <c r="T313" s="7">
        <f>IF(Payroll_Data_Analysis[[#This Row],[Base Salary (Monthly)]]&gt;=200000,69507,IF(Payroll_Data_Analysis[[#This Row],[Base Salary (Monthly)]]&gt;=145000,52684,35103))</f>
        <v>52684</v>
      </c>
      <c r="U313" s="7">
        <f>Payroll_Data_Analysis[[#This Row],[Annual KPI Bonus Reserve]]+Payroll_Data_Analysis[[#This Row],[Vacation Reserve]]+Payroll_Data_Analysis[[#This Row],[11-Month Salary]]</f>
        <v>2452771.3651877134</v>
      </c>
      <c r="V313" s="7">
        <f>Payroll_Data_Analysis[[#This Row],[Payroll Taxes (KPI Bonus)]]+Payroll_Data_Analysis[[#This Row],[Payroll Taxes (Vacation)]]+Payroll_Data_Analysis[[#This Row],[Payroll Taxes (Salary)]]</f>
        <v>740736.95228668931</v>
      </c>
      <c r="W313" s="13">
        <f>Payroll_Data_Analysis[[#This Row],[Total Payroll]]+Payroll_Data_Analysis[[#This Row],[Total Payroll Taxes]]</f>
        <v>3193508.3174744025</v>
      </c>
    </row>
    <row r="314" spans="1:23">
      <c r="A314" s="11" t="s">
        <v>663</v>
      </c>
      <c r="B314" s="5" t="s">
        <v>317</v>
      </c>
      <c r="C314" s="5" t="s">
        <v>698</v>
      </c>
      <c r="D314" s="28" t="str">
        <f>VLOOKUP(Payroll_Data_Analysis[[#This Row],[Position]],Position_Map!$A$2:$B$58,2,FALSE)</f>
        <v>Administration</v>
      </c>
      <c r="E314" s="15">
        <v>1</v>
      </c>
      <c r="F314" s="16">
        <v>231600</v>
      </c>
      <c r="G314" s="16">
        <v>145000</v>
      </c>
      <c r="H314" s="16"/>
      <c r="I314" s="16">
        <f>dataset!$F314-dataset!$J314-dataset!$G314-dataset!$H314</f>
        <v>75000</v>
      </c>
      <c r="J314" s="16">
        <f>dataset!$G314*0.08</f>
        <v>11600</v>
      </c>
      <c r="K314" s="16">
        <f>dataset!$F314*12</f>
        <v>2779200</v>
      </c>
      <c r="L314" s="12">
        <f>IF(dataset!$G314&gt;=200000,38%,IF(dataset!$G314&lt;=145000,12.3%,))</f>
        <v>0.12300000000000001</v>
      </c>
      <c r="M314" s="7">
        <f>dataset!$G314*L315*12</f>
        <v>661200</v>
      </c>
      <c r="N314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314" s="7">
        <f>dataset!$K314+dataset!$M314</f>
        <v>3440400</v>
      </c>
      <c r="P314" s="7">
        <f>Payroll_Data_Analysis[[#This Row],[Annual Salary + KPI Bonus]]/12/29.3*31</f>
        <v>303334.47098976106</v>
      </c>
      <c r="Q314" s="7">
        <f>IF(Payroll_Data_Analysis[[#This Row],[Vacation Reserve]]&lt;=2979000,Payroll_Data_Analysis[[#This Row],[Vacation Reserve]]*0.302,2979000*0.302+(Payroll_Data_Analysis[[#This Row],[Vacation Reserve]]-2979000)*0.151)</f>
        <v>91607.010238907838</v>
      </c>
      <c r="R314" s="7">
        <f>Payroll_Data_Analysis[[#This Row],[Monthly Salary]]*11</f>
        <v>2547600</v>
      </c>
      <c r="S314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314" s="7">
        <f>IF(Payroll_Data_Analysis[[#This Row],[Base Salary (Monthly)]]&gt;=200000,69507,IF(Payroll_Data_Analysis[[#This Row],[Base Salary (Monthly)]]&gt;=145000,52684,35103))</f>
        <v>52684</v>
      </c>
      <c r="U314" s="7">
        <f>Payroll_Data_Analysis[[#This Row],[Annual KPI Bonus Reserve]]+Payroll_Data_Analysis[[#This Row],[Vacation Reserve]]+Payroll_Data_Analysis[[#This Row],[11-Month Salary]]</f>
        <v>3512134.4709897609</v>
      </c>
      <c r="V314" s="7">
        <f>Payroll_Data_Analysis[[#This Row],[Payroll Taxes (KPI Bonus)]]+Payroll_Data_Analysis[[#This Row],[Payroll Taxes (Vacation)]]+Payroll_Data_Analysis[[#This Row],[Payroll Taxes (Salary)]]</f>
        <v>1060664.6102389079</v>
      </c>
      <c r="W314" s="13">
        <f>Payroll_Data_Analysis[[#This Row],[Total Payroll]]+Payroll_Data_Analysis[[#This Row],[Total Payroll Taxes]]</f>
        <v>4572799.0812286688</v>
      </c>
    </row>
    <row r="315" spans="1:23">
      <c r="A315" s="11" t="s">
        <v>663</v>
      </c>
      <c r="B315" s="5" t="s">
        <v>318</v>
      </c>
      <c r="C315" s="5" t="s">
        <v>709</v>
      </c>
      <c r="D315" s="28" t="str">
        <f>VLOOKUP(Payroll_Data_Analysis[[#This Row],[Position]],Position_Map!$A$2:$B$58,2,FALSE)</f>
        <v>Engineering</v>
      </c>
      <c r="E315" s="15">
        <v>1</v>
      </c>
      <c r="F315" s="16">
        <v>301000</v>
      </c>
      <c r="G315" s="16">
        <v>200000</v>
      </c>
      <c r="H315" s="16"/>
      <c r="I315" s="16">
        <f>dataset!$F315-dataset!$J315-dataset!$G315-dataset!$H315</f>
        <v>85000</v>
      </c>
      <c r="J315" s="16">
        <f>dataset!$G315*0.08</f>
        <v>16000</v>
      </c>
      <c r="K315" s="16">
        <f>dataset!$F315*12</f>
        <v>3612000</v>
      </c>
      <c r="L315" s="12">
        <f>IF(dataset!$G315&gt;=200000,38%,IF(dataset!$G315&lt;=145000,12.3%,))</f>
        <v>0.38</v>
      </c>
      <c r="M315" s="7">
        <f>dataset!$G315*L316*12</f>
        <v>295200.00000000006</v>
      </c>
      <c r="N315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315" s="7">
        <f>dataset!$K315+dataset!$M315</f>
        <v>3907200</v>
      </c>
      <c r="P315" s="7">
        <f>Payroll_Data_Analysis[[#This Row],[Annual Salary + KPI Bonus]]/12/29.3*31</f>
        <v>344491.46757679182</v>
      </c>
      <c r="Q315" s="7">
        <f>IF(Payroll_Data_Analysis[[#This Row],[Vacation Reserve]]&lt;=2979000,Payroll_Data_Analysis[[#This Row],[Vacation Reserve]]*0.302,2979000*0.302+(Payroll_Data_Analysis[[#This Row],[Vacation Reserve]]-2979000)*0.151)</f>
        <v>104036.42320819113</v>
      </c>
      <c r="R315" s="7">
        <f>Payroll_Data_Analysis[[#This Row],[Monthly Salary]]*11</f>
        <v>3311000</v>
      </c>
      <c r="S315" s="7">
        <f>IF(Payroll_Data_Analysis[[#This Row],[11-Month Salary]]&lt;=2979000,Payroll_Data_Analysis[[#This Row],[11-Month Salary]]*0.302,2979000*0.302+(Payroll_Data_Analysis[[#This Row],[11-Month Salary]]-2979000)*0.151)</f>
        <v>949790</v>
      </c>
      <c r="T315" s="7">
        <f>IF(Payroll_Data_Analysis[[#This Row],[Base Salary (Monthly)]]&gt;=200000,69507,IF(Payroll_Data_Analysis[[#This Row],[Base Salary (Monthly)]]&gt;=145000,52684,35103))</f>
        <v>69507</v>
      </c>
      <c r="U315" s="7">
        <f>Payroll_Data_Analysis[[#This Row],[Annual KPI Bonus Reserve]]+Payroll_Data_Analysis[[#This Row],[Vacation Reserve]]+Payroll_Data_Analysis[[#This Row],[11-Month Salary]]</f>
        <v>3950691.467576792</v>
      </c>
      <c r="V315" s="7">
        <f>Payroll_Data_Analysis[[#This Row],[Payroll Taxes (KPI Bonus)]]+Payroll_Data_Analysis[[#This Row],[Payroll Taxes (Vacation)]]+Payroll_Data_Analysis[[#This Row],[Payroll Taxes (Salary)]]</f>
        <v>1142976.8232081912</v>
      </c>
      <c r="W315" s="13">
        <f>Payroll_Data_Analysis[[#This Row],[Total Payroll]]+Payroll_Data_Analysis[[#This Row],[Total Payroll Taxes]]</f>
        <v>5093668.290784983</v>
      </c>
    </row>
    <row r="316" spans="1:23">
      <c r="A316" s="11" t="s">
        <v>663</v>
      </c>
      <c r="B316" s="5" t="s">
        <v>319</v>
      </c>
      <c r="C316" s="5" t="s">
        <v>732</v>
      </c>
      <c r="D316" s="28" t="str">
        <f>VLOOKUP(Payroll_Data_Analysis[[#This Row],[Position]],Position_Map!$A$2:$B$58,2,FALSE)</f>
        <v>Administration</v>
      </c>
      <c r="E316" s="15">
        <v>1</v>
      </c>
      <c r="F316" s="16">
        <v>211600</v>
      </c>
      <c r="G316" s="16">
        <v>145000</v>
      </c>
      <c r="H316" s="16"/>
      <c r="I316" s="16">
        <f>dataset!$F316-dataset!$J316-dataset!$G316-dataset!$H316</f>
        <v>55000</v>
      </c>
      <c r="J316" s="16">
        <f>dataset!$G316*0.08</f>
        <v>11600</v>
      </c>
      <c r="K316" s="16">
        <f>dataset!$F316*12</f>
        <v>2539200</v>
      </c>
      <c r="L316" s="12">
        <f>IF(dataset!$G316&gt;=200000,38%,IF(dataset!$G316&lt;=145000,12.3%,))</f>
        <v>0.12300000000000001</v>
      </c>
      <c r="M316" s="7">
        <f>dataset!$G316*L317*12</f>
        <v>214020</v>
      </c>
      <c r="N31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16" s="7">
        <f>dataset!$K316+dataset!$M316</f>
        <v>2753220</v>
      </c>
      <c r="P316" s="7">
        <f>Payroll_Data_Analysis[[#This Row],[Annual Salary + KPI Bonus]]/12/29.3*31</f>
        <v>242746.92832764506</v>
      </c>
      <c r="Q316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316" s="7">
        <f>Payroll_Data_Analysis[[#This Row],[Monthly Salary]]*11</f>
        <v>2327600</v>
      </c>
      <c r="S316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316" s="7">
        <f>IF(Payroll_Data_Analysis[[#This Row],[Base Salary (Monthly)]]&gt;=200000,69507,IF(Payroll_Data_Analysis[[#This Row],[Base Salary (Monthly)]]&gt;=145000,52684,35103))</f>
        <v>52684</v>
      </c>
      <c r="U316" s="7">
        <f>Payroll_Data_Analysis[[#This Row],[Annual KPI Bonus Reserve]]+Payroll_Data_Analysis[[#This Row],[Vacation Reserve]]+Payroll_Data_Analysis[[#This Row],[11-Month Salary]]</f>
        <v>2784366.9283276452</v>
      </c>
      <c r="V316" s="7">
        <f>Payroll_Data_Analysis[[#This Row],[Payroll Taxes (KPI Bonus)]]+Payroll_Data_Analysis[[#This Row],[Payroll Taxes (Vacation)]]+Payroll_Data_Analysis[[#This Row],[Payroll Taxes (Salary)]]</f>
        <v>840878.81235494872</v>
      </c>
      <c r="W316" s="13">
        <f>Payroll_Data_Analysis[[#This Row],[Total Payroll]]+Payroll_Data_Analysis[[#This Row],[Total Payroll Taxes]]</f>
        <v>3625245.740682594</v>
      </c>
    </row>
    <row r="317" spans="1:23">
      <c r="A317" s="11" t="s">
        <v>664</v>
      </c>
      <c r="B317" s="5" t="s">
        <v>320</v>
      </c>
      <c r="C317" s="5" t="s">
        <v>703</v>
      </c>
      <c r="D317" s="28" t="str">
        <f>VLOOKUP(Payroll_Data_Analysis[[#This Row],[Position]],Position_Map!$A$2:$B$58,2,FALSE)</f>
        <v>Management</v>
      </c>
      <c r="E317" s="15">
        <v>1</v>
      </c>
      <c r="F317" s="16">
        <v>231600</v>
      </c>
      <c r="G317" s="16">
        <v>145000</v>
      </c>
      <c r="H317" s="16"/>
      <c r="I317" s="16">
        <f>dataset!$F317-dataset!$J317-dataset!$G317-dataset!$H317</f>
        <v>75000</v>
      </c>
      <c r="J317" s="16">
        <f>dataset!$G317*0.08</f>
        <v>11600</v>
      </c>
      <c r="K317" s="16">
        <f>dataset!$F317*12</f>
        <v>2779200</v>
      </c>
      <c r="L317" s="12">
        <f>IF(dataset!$G317&gt;=200000,38%,IF(dataset!$G317&lt;=145000,12.3%,))</f>
        <v>0.12300000000000001</v>
      </c>
      <c r="M317" s="7">
        <f>dataset!$G317*L318*12</f>
        <v>214020</v>
      </c>
      <c r="N31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317" s="7">
        <f>dataset!$K317+dataset!$M317</f>
        <v>2993220</v>
      </c>
      <c r="P317" s="7">
        <f>Payroll_Data_Analysis[[#This Row],[Annual Salary + KPI Bonus]]/12/29.3*31</f>
        <v>263907.33788395906</v>
      </c>
      <c r="Q317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317" s="7">
        <f>Payroll_Data_Analysis[[#This Row],[Monthly Salary]]*11</f>
        <v>2547600</v>
      </c>
      <c r="S317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317" s="7">
        <f>IF(Payroll_Data_Analysis[[#This Row],[Base Salary (Monthly)]]&gt;=200000,69507,IF(Payroll_Data_Analysis[[#This Row],[Base Salary (Monthly)]]&gt;=145000,52684,35103))</f>
        <v>52684</v>
      </c>
      <c r="U317" s="7">
        <f>Payroll_Data_Analysis[[#This Row],[Annual KPI Bonus Reserve]]+Payroll_Data_Analysis[[#This Row],[Vacation Reserve]]+Payroll_Data_Analysis[[#This Row],[11-Month Salary]]</f>
        <v>3025527.3378839591</v>
      </c>
      <c r="V317" s="7">
        <f>Payroll_Data_Analysis[[#This Row],[Payroll Taxes (KPI Bonus)]]+Payroll_Data_Analysis[[#This Row],[Payroll Taxes (Vacation)]]+Payroll_Data_Analysis[[#This Row],[Payroll Taxes (Salary)]]</f>
        <v>913709.25604095554</v>
      </c>
      <c r="W317" s="13">
        <f>Payroll_Data_Analysis[[#This Row],[Total Payroll]]+Payroll_Data_Analysis[[#This Row],[Total Payroll Taxes]]</f>
        <v>3939236.5939249145</v>
      </c>
    </row>
    <row r="318" spans="1:23">
      <c r="A318" s="11" t="s">
        <v>664</v>
      </c>
      <c r="B318" s="5" t="s">
        <v>321</v>
      </c>
      <c r="C318" s="5" t="s">
        <v>708</v>
      </c>
      <c r="D318" s="28" t="str">
        <f>VLOOKUP(Payroll_Data_Analysis[[#This Row],[Position]],Position_Map!$A$2:$B$58,2,FALSE)</f>
        <v>Professional</v>
      </c>
      <c r="E318" s="15">
        <v>1</v>
      </c>
      <c r="F318" s="16">
        <v>158000</v>
      </c>
      <c r="G318" s="16">
        <v>100000</v>
      </c>
      <c r="H318" s="16"/>
      <c r="I318" s="16">
        <f>dataset!$F318-dataset!$J318-dataset!$G318-dataset!$H318</f>
        <v>50000</v>
      </c>
      <c r="J318" s="16">
        <f>dataset!$G318*0.08</f>
        <v>8000</v>
      </c>
      <c r="K318" s="16">
        <f>dataset!$F318*12</f>
        <v>1896000</v>
      </c>
      <c r="L318" s="12">
        <f>IF(dataset!$G318&gt;=200000,38%,IF(dataset!$G318&lt;=145000,12.3%,))</f>
        <v>0.12300000000000001</v>
      </c>
      <c r="M318" s="7">
        <f>dataset!$G318*L319*12</f>
        <v>147600.00000000003</v>
      </c>
      <c r="N31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18" s="7">
        <f>dataset!$K318+dataset!$M318</f>
        <v>2043600</v>
      </c>
      <c r="P318" s="7">
        <f>Payroll_Data_Analysis[[#This Row],[Annual Salary + KPI Bonus]]/12/29.3*31</f>
        <v>180180.88737201365</v>
      </c>
      <c r="Q318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318" s="7">
        <f>Payroll_Data_Analysis[[#This Row],[Monthly Salary]]*11</f>
        <v>1738000</v>
      </c>
      <c r="S318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318" s="7">
        <f>IF(Payroll_Data_Analysis[[#This Row],[Base Salary (Monthly)]]&gt;=200000,69507,IF(Payroll_Data_Analysis[[#This Row],[Base Salary (Monthly)]]&gt;=145000,52684,35103))</f>
        <v>35103</v>
      </c>
      <c r="U318" s="7">
        <f>Payroll_Data_Analysis[[#This Row],[Annual KPI Bonus Reserve]]+Payroll_Data_Analysis[[#This Row],[Vacation Reserve]]+Payroll_Data_Analysis[[#This Row],[11-Month Salary]]</f>
        <v>2065780.8873720136</v>
      </c>
      <c r="V318" s="7">
        <f>Payroll_Data_Analysis[[#This Row],[Payroll Taxes (KPI Bonus)]]+Payroll_Data_Analysis[[#This Row],[Payroll Taxes (Vacation)]]+Payroll_Data_Analysis[[#This Row],[Payroll Taxes (Salary)]]</f>
        <v>623865.82798634819</v>
      </c>
      <c r="W318" s="13">
        <f>Payroll_Data_Analysis[[#This Row],[Total Payroll]]+Payroll_Data_Analysis[[#This Row],[Total Payroll Taxes]]</f>
        <v>2689646.7153583616</v>
      </c>
    </row>
    <row r="319" spans="1:23">
      <c r="A319" s="11" t="s">
        <v>664</v>
      </c>
      <c r="B319" s="5" t="s">
        <v>322</v>
      </c>
      <c r="C319" s="5" t="s">
        <v>704</v>
      </c>
      <c r="D319" s="28" t="str">
        <f>VLOOKUP(Payroll_Data_Analysis[[#This Row],[Position]],Position_Map!$A$2:$B$58,2,FALSE)</f>
        <v>Management</v>
      </c>
      <c r="E319" s="15">
        <v>1</v>
      </c>
      <c r="F319" s="16">
        <v>158000</v>
      </c>
      <c r="G319" s="16">
        <v>100000</v>
      </c>
      <c r="H319" s="16"/>
      <c r="I319" s="16">
        <f>dataset!$F319-dataset!$J319-dataset!$G319-dataset!$H319</f>
        <v>50000</v>
      </c>
      <c r="J319" s="16">
        <f>dataset!$G319*0.08</f>
        <v>8000</v>
      </c>
      <c r="K319" s="16">
        <f>dataset!$F319*12</f>
        <v>1896000</v>
      </c>
      <c r="L319" s="12">
        <f>IF(dataset!$G319&gt;=200000,38%,IF(dataset!$G319&lt;=145000,12.3%,))</f>
        <v>0.12300000000000001</v>
      </c>
      <c r="M319" s="7">
        <f>dataset!$G319*L320*12</f>
        <v>147600.00000000003</v>
      </c>
      <c r="N31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19" s="7">
        <f>dataset!$K319+dataset!$M319</f>
        <v>2043600</v>
      </c>
      <c r="P319" s="7">
        <f>Payroll_Data_Analysis[[#This Row],[Annual Salary + KPI Bonus]]/12/29.3*31</f>
        <v>180180.88737201365</v>
      </c>
      <c r="Q319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319" s="7">
        <f>Payroll_Data_Analysis[[#This Row],[Monthly Salary]]*11</f>
        <v>1738000</v>
      </c>
      <c r="S319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319" s="7">
        <f>IF(Payroll_Data_Analysis[[#This Row],[Base Salary (Monthly)]]&gt;=200000,69507,IF(Payroll_Data_Analysis[[#This Row],[Base Salary (Monthly)]]&gt;=145000,52684,35103))</f>
        <v>35103</v>
      </c>
      <c r="U319" s="7">
        <f>Payroll_Data_Analysis[[#This Row],[Annual KPI Bonus Reserve]]+Payroll_Data_Analysis[[#This Row],[Vacation Reserve]]+Payroll_Data_Analysis[[#This Row],[11-Month Salary]]</f>
        <v>2065780.8873720136</v>
      </c>
      <c r="V319" s="7">
        <f>Payroll_Data_Analysis[[#This Row],[Payroll Taxes (KPI Bonus)]]+Payroll_Data_Analysis[[#This Row],[Payroll Taxes (Vacation)]]+Payroll_Data_Analysis[[#This Row],[Payroll Taxes (Salary)]]</f>
        <v>623865.82798634819</v>
      </c>
      <c r="W319" s="13">
        <f>Payroll_Data_Analysis[[#This Row],[Total Payroll]]+Payroll_Data_Analysis[[#This Row],[Total Payroll Taxes]]</f>
        <v>2689646.7153583616</v>
      </c>
    </row>
    <row r="320" spans="1:23">
      <c r="A320" s="11" t="s">
        <v>664</v>
      </c>
      <c r="B320" s="5" t="s">
        <v>323</v>
      </c>
      <c r="C320" s="5" t="s">
        <v>704</v>
      </c>
      <c r="D320" s="28" t="str">
        <f>VLOOKUP(Payroll_Data_Analysis[[#This Row],[Position]],Position_Map!$A$2:$B$58,2,FALSE)</f>
        <v>Management</v>
      </c>
      <c r="E320" s="15">
        <v>1</v>
      </c>
      <c r="F320" s="16">
        <v>158000</v>
      </c>
      <c r="G320" s="16">
        <v>100000</v>
      </c>
      <c r="H320" s="16"/>
      <c r="I320" s="16">
        <f>dataset!$F320-dataset!$J320-dataset!$G320-dataset!$H320</f>
        <v>50000</v>
      </c>
      <c r="J320" s="16">
        <f>dataset!$G320*0.08</f>
        <v>8000</v>
      </c>
      <c r="K320" s="16">
        <f>dataset!$F320*12</f>
        <v>1896000</v>
      </c>
      <c r="L320" s="12">
        <f>IF(dataset!$G320&gt;=200000,38%,IF(dataset!$G320&lt;=145000,12.3%,))</f>
        <v>0.12300000000000001</v>
      </c>
      <c r="M320" s="7">
        <f>dataset!$G320*L321*12</f>
        <v>147600.00000000003</v>
      </c>
      <c r="N32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20" s="7">
        <f>dataset!$K320+dataset!$M320</f>
        <v>2043600</v>
      </c>
      <c r="P320" s="7">
        <f>Payroll_Data_Analysis[[#This Row],[Annual Salary + KPI Bonus]]/12/29.3*31</f>
        <v>180180.88737201365</v>
      </c>
      <c r="Q320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320" s="7">
        <f>Payroll_Data_Analysis[[#This Row],[Monthly Salary]]*11</f>
        <v>1738000</v>
      </c>
      <c r="S320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320" s="7">
        <f>IF(Payroll_Data_Analysis[[#This Row],[Base Salary (Monthly)]]&gt;=200000,69507,IF(Payroll_Data_Analysis[[#This Row],[Base Salary (Monthly)]]&gt;=145000,52684,35103))</f>
        <v>35103</v>
      </c>
      <c r="U320" s="7">
        <f>Payroll_Data_Analysis[[#This Row],[Annual KPI Bonus Reserve]]+Payroll_Data_Analysis[[#This Row],[Vacation Reserve]]+Payroll_Data_Analysis[[#This Row],[11-Month Salary]]</f>
        <v>2065780.8873720136</v>
      </c>
      <c r="V320" s="7">
        <f>Payroll_Data_Analysis[[#This Row],[Payroll Taxes (KPI Bonus)]]+Payroll_Data_Analysis[[#This Row],[Payroll Taxes (Vacation)]]+Payroll_Data_Analysis[[#This Row],[Payroll Taxes (Salary)]]</f>
        <v>623865.82798634819</v>
      </c>
      <c r="W320" s="13">
        <f>Payroll_Data_Analysis[[#This Row],[Total Payroll]]+Payroll_Data_Analysis[[#This Row],[Total Payroll Taxes]]</f>
        <v>2689646.7153583616</v>
      </c>
    </row>
    <row r="321" spans="1:23">
      <c r="A321" s="11" t="s">
        <v>664</v>
      </c>
      <c r="B321" s="5" t="s">
        <v>324</v>
      </c>
      <c r="C321" s="5" t="s">
        <v>704</v>
      </c>
      <c r="D321" s="28" t="str">
        <f>VLOOKUP(Payroll_Data_Analysis[[#This Row],[Position]],Position_Map!$A$2:$B$58,2,FALSE)</f>
        <v>Management</v>
      </c>
      <c r="E321" s="15">
        <v>1</v>
      </c>
      <c r="F321" s="16">
        <v>158000</v>
      </c>
      <c r="G321" s="16">
        <v>100000</v>
      </c>
      <c r="H321" s="16"/>
      <c r="I321" s="16">
        <f>dataset!$F321-dataset!$J321-dataset!$G321-dataset!$H321</f>
        <v>50000</v>
      </c>
      <c r="J321" s="16">
        <f>dataset!$G321*0.08</f>
        <v>8000</v>
      </c>
      <c r="K321" s="16">
        <f>dataset!$F321*12</f>
        <v>1896000</v>
      </c>
      <c r="L321" s="12">
        <f>IF(dataset!$G321&gt;=200000,38%,IF(dataset!$G321&lt;=145000,12.3%,))</f>
        <v>0.12300000000000001</v>
      </c>
      <c r="M321" s="7">
        <f>dataset!$G321*L322*12</f>
        <v>147600.00000000003</v>
      </c>
      <c r="N32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21" s="7">
        <f>dataset!$K321+dataset!$M321</f>
        <v>2043600</v>
      </c>
      <c r="P321" s="7">
        <f>Payroll_Data_Analysis[[#This Row],[Annual Salary + KPI Bonus]]/12/29.3*31</f>
        <v>180180.88737201365</v>
      </c>
      <c r="Q321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321" s="7">
        <f>Payroll_Data_Analysis[[#This Row],[Monthly Salary]]*11</f>
        <v>1738000</v>
      </c>
      <c r="S321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321" s="7">
        <f>IF(Payroll_Data_Analysis[[#This Row],[Base Salary (Monthly)]]&gt;=200000,69507,IF(Payroll_Data_Analysis[[#This Row],[Base Salary (Monthly)]]&gt;=145000,52684,35103))</f>
        <v>35103</v>
      </c>
      <c r="U321" s="7">
        <f>Payroll_Data_Analysis[[#This Row],[Annual KPI Bonus Reserve]]+Payroll_Data_Analysis[[#This Row],[Vacation Reserve]]+Payroll_Data_Analysis[[#This Row],[11-Month Salary]]</f>
        <v>2065780.8873720136</v>
      </c>
      <c r="V321" s="7">
        <f>Payroll_Data_Analysis[[#This Row],[Payroll Taxes (KPI Bonus)]]+Payroll_Data_Analysis[[#This Row],[Payroll Taxes (Vacation)]]+Payroll_Data_Analysis[[#This Row],[Payroll Taxes (Salary)]]</f>
        <v>623865.82798634819</v>
      </c>
      <c r="W321" s="13">
        <f>Payroll_Data_Analysis[[#This Row],[Total Payroll]]+Payroll_Data_Analysis[[#This Row],[Total Payroll Taxes]]</f>
        <v>2689646.7153583616</v>
      </c>
    </row>
    <row r="322" spans="1:23">
      <c r="A322" s="11" t="s">
        <v>664</v>
      </c>
      <c r="B322" s="5" t="s">
        <v>325</v>
      </c>
      <c r="C322" s="5" t="s">
        <v>708</v>
      </c>
      <c r="D322" s="28" t="str">
        <f>VLOOKUP(Payroll_Data_Analysis[[#This Row],[Position]],Position_Map!$A$2:$B$58,2,FALSE)</f>
        <v>Professional</v>
      </c>
      <c r="E322" s="15">
        <v>1</v>
      </c>
      <c r="F322" s="16">
        <v>126400</v>
      </c>
      <c r="G322" s="16">
        <v>100000</v>
      </c>
      <c r="H322" s="16"/>
      <c r="I322" s="16">
        <f>dataset!$F322-dataset!$J322-dataset!$G322-dataset!$H322</f>
        <v>18400</v>
      </c>
      <c r="J322" s="16">
        <f>dataset!$G322*0.08</f>
        <v>8000</v>
      </c>
      <c r="K322" s="16">
        <f>dataset!$F322*12</f>
        <v>1516800</v>
      </c>
      <c r="L322" s="12">
        <f>IF(dataset!$G322&gt;=200000,38%,IF(dataset!$G322&lt;=145000,12.3%,))</f>
        <v>0.12300000000000001</v>
      </c>
      <c r="M322" s="7">
        <f>dataset!$G322*L323*12</f>
        <v>147600.00000000003</v>
      </c>
      <c r="N32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22" s="7">
        <f>dataset!$K322+dataset!$M322</f>
        <v>1664400</v>
      </c>
      <c r="P322" s="7">
        <f>Payroll_Data_Analysis[[#This Row],[Annual Salary + KPI Bonus]]/12/29.3*31</f>
        <v>146747.44027303753</v>
      </c>
      <c r="Q322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22" s="7">
        <f>Payroll_Data_Analysis[[#This Row],[Monthly Salary]]*11</f>
        <v>1390400</v>
      </c>
      <c r="S322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22" s="7">
        <f>IF(Payroll_Data_Analysis[[#This Row],[Base Salary (Monthly)]]&gt;=200000,69507,IF(Payroll_Data_Analysis[[#This Row],[Base Salary (Monthly)]]&gt;=145000,52684,35103))</f>
        <v>35103</v>
      </c>
      <c r="U322" s="7">
        <f>Payroll_Data_Analysis[[#This Row],[Annual KPI Bonus Reserve]]+Payroll_Data_Analysis[[#This Row],[Vacation Reserve]]+Payroll_Data_Analysis[[#This Row],[11-Month Salary]]</f>
        <v>1684747.4402730376</v>
      </c>
      <c r="V322" s="7">
        <f>Payroll_Data_Analysis[[#This Row],[Payroll Taxes (KPI Bonus)]]+Payroll_Data_Analysis[[#This Row],[Payroll Taxes (Vacation)]]+Payroll_Data_Analysis[[#This Row],[Payroll Taxes (Salary)]]</f>
        <v>508793.72696245729</v>
      </c>
      <c r="W322" s="13">
        <f>Payroll_Data_Analysis[[#This Row],[Total Payroll]]+Payroll_Data_Analysis[[#This Row],[Total Payroll Taxes]]</f>
        <v>2193541.1672354951</v>
      </c>
    </row>
    <row r="323" spans="1:23">
      <c r="A323" s="11" t="s">
        <v>664</v>
      </c>
      <c r="B323" s="5" t="s">
        <v>326</v>
      </c>
      <c r="C323" s="5" t="s">
        <v>708</v>
      </c>
      <c r="D323" s="28" t="str">
        <f>VLOOKUP(Payroll_Data_Analysis[[#This Row],[Position]],Position_Map!$A$2:$B$58,2,FALSE)</f>
        <v>Professional</v>
      </c>
      <c r="E323" s="6">
        <v>1</v>
      </c>
      <c r="F323" s="7">
        <v>103400</v>
      </c>
      <c r="G323" s="7">
        <v>80000</v>
      </c>
      <c r="H323" s="7"/>
      <c r="I323" s="7">
        <f>dataset!$F323-dataset!$J323-dataset!$G323-dataset!$H323</f>
        <v>17000</v>
      </c>
      <c r="J323" s="7">
        <f>dataset!$G323*0.08</f>
        <v>6400</v>
      </c>
      <c r="K323" s="7">
        <f>dataset!$F323*12</f>
        <v>1240800</v>
      </c>
      <c r="L323" s="12">
        <f>IF(dataset!$G323&gt;=200000,38%,IF(dataset!$G323&lt;=145000,12.3%,))</f>
        <v>0.12300000000000001</v>
      </c>
      <c r="M323" s="7">
        <f>dataset!$G323*L324*12</f>
        <v>118080.00000000003</v>
      </c>
      <c r="N32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323" s="7">
        <f>dataset!$K323+dataset!$M323</f>
        <v>1358880</v>
      </c>
      <c r="P323" s="7">
        <f>Payroll_Data_Analysis[[#This Row],[Annual Salary + KPI Bonus]]/12/29.3*31</f>
        <v>119810.23890784982</v>
      </c>
      <c r="Q323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323" s="7">
        <f>Payroll_Data_Analysis[[#This Row],[Monthly Salary]]*11</f>
        <v>1137400</v>
      </c>
      <c r="S323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323" s="7">
        <f>IF(Payroll_Data_Analysis[[#This Row],[Base Salary (Monthly)]]&gt;=200000,69507,IF(Payroll_Data_Analysis[[#This Row],[Base Salary (Monthly)]]&gt;=145000,52684,35103))</f>
        <v>35103</v>
      </c>
      <c r="U323" s="7">
        <f>Payroll_Data_Analysis[[#This Row],[Annual KPI Bonus Reserve]]+Payroll_Data_Analysis[[#This Row],[Vacation Reserve]]+Payroll_Data_Analysis[[#This Row],[11-Month Salary]]</f>
        <v>1375290.2389078499</v>
      </c>
      <c r="V323" s="7">
        <f>Payroll_Data_Analysis[[#This Row],[Payroll Taxes (KPI Bonus)]]+Payroll_Data_Analysis[[#This Row],[Payroll Taxes (Vacation)]]+Payroll_Data_Analysis[[#This Row],[Payroll Taxes (Salary)]]</f>
        <v>415337.65215017064</v>
      </c>
      <c r="W323" s="13">
        <f>Payroll_Data_Analysis[[#This Row],[Total Payroll]]+Payroll_Data_Analysis[[#This Row],[Total Payroll Taxes]]</f>
        <v>1790627.8910580205</v>
      </c>
    </row>
    <row r="324" spans="1:23">
      <c r="A324" s="11" t="s">
        <v>664</v>
      </c>
      <c r="B324" s="5" t="s">
        <v>327</v>
      </c>
      <c r="C324" s="5" t="s">
        <v>733</v>
      </c>
      <c r="D324" s="28" t="str">
        <f>VLOOKUP(Payroll_Data_Analysis[[#This Row],[Position]],Position_Map!$A$2:$B$58,2,FALSE)</f>
        <v>Facilities</v>
      </c>
      <c r="E324" s="6">
        <v>1</v>
      </c>
      <c r="F324" s="7">
        <v>57800</v>
      </c>
      <c r="G324" s="7">
        <v>35000</v>
      </c>
      <c r="H324" s="7"/>
      <c r="I324" s="7">
        <f>dataset!$F324-dataset!$J324-dataset!$G324-dataset!$H324</f>
        <v>20000</v>
      </c>
      <c r="J324" s="7">
        <f>dataset!$G324*0.08</f>
        <v>2800</v>
      </c>
      <c r="K324" s="7">
        <f>dataset!$F324*12</f>
        <v>693600</v>
      </c>
      <c r="L324" s="12">
        <f>IF(dataset!$G324&gt;=200000,38%,IF(dataset!$G324&lt;=145000,12.3%,))</f>
        <v>0.12300000000000001</v>
      </c>
      <c r="M324" s="7">
        <f>dataset!$G324*L325*12</f>
        <v>51660</v>
      </c>
      <c r="N32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4" s="7">
        <f>dataset!$K324+dataset!$M324</f>
        <v>745260</v>
      </c>
      <c r="P324" s="7">
        <f>Payroll_Data_Analysis[[#This Row],[Annual Salary + KPI Bonus]]/12/29.3*31</f>
        <v>65708.361774744029</v>
      </c>
      <c r="Q324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24" s="7">
        <f>Payroll_Data_Analysis[[#This Row],[Monthly Salary]]*11</f>
        <v>635800</v>
      </c>
      <c r="S324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24" s="7">
        <f>IF(Payroll_Data_Analysis[[#This Row],[Base Salary (Monthly)]]&gt;=200000,69507,IF(Payroll_Data_Analysis[[#This Row],[Base Salary (Monthly)]]&gt;=145000,52684,35103))</f>
        <v>35103</v>
      </c>
      <c r="U324" s="7">
        <f>Payroll_Data_Analysis[[#This Row],[Annual KPI Bonus Reserve]]+Payroll_Data_Analysis[[#This Row],[Vacation Reserve]]+Payroll_Data_Analysis[[#This Row],[11-Month Salary]]</f>
        <v>753168.361774744</v>
      </c>
      <c r="V324" s="7">
        <f>Payroll_Data_Analysis[[#This Row],[Payroll Taxes (KPI Bonus)]]+Payroll_Data_Analysis[[#This Row],[Payroll Taxes (Vacation)]]+Payroll_Data_Analysis[[#This Row],[Payroll Taxes (Salary)]]</f>
        <v>227456.8452559727</v>
      </c>
      <c r="W324" s="13">
        <f>Payroll_Data_Analysis[[#This Row],[Total Payroll]]+Payroll_Data_Analysis[[#This Row],[Total Payroll Taxes]]</f>
        <v>980625.2070307167</v>
      </c>
    </row>
    <row r="325" spans="1:23">
      <c r="A325" s="11" t="s">
        <v>664</v>
      </c>
      <c r="B325" s="5" t="s">
        <v>328</v>
      </c>
      <c r="C325" s="5" t="s">
        <v>733</v>
      </c>
      <c r="D325" s="28" t="str">
        <f>VLOOKUP(Payroll_Data_Analysis[[#This Row],[Position]],Position_Map!$A$2:$B$58,2,FALSE)</f>
        <v>Facilities</v>
      </c>
      <c r="E325" s="6">
        <v>1</v>
      </c>
      <c r="F325" s="7">
        <v>46000</v>
      </c>
      <c r="G325" s="7">
        <v>35000</v>
      </c>
      <c r="H325" s="7"/>
      <c r="I325" s="7">
        <f>dataset!$F325-dataset!$J325-dataset!$G325-dataset!$H325</f>
        <v>8200</v>
      </c>
      <c r="J325" s="7">
        <f>dataset!$G325*0.08</f>
        <v>2800</v>
      </c>
      <c r="K325" s="7">
        <f>dataset!$F325*12</f>
        <v>552000</v>
      </c>
      <c r="L325" s="12">
        <f>IF(dataset!$G325&gt;=200000,38%,IF(dataset!$G325&lt;=145000,12.3%,))</f>
        <v>0.12300000000000001</v>
      </c>
      <c r="M325" s="7">
        <f>dataset!$G325*L326*12</f>
        <v>51660</v>
      </c>
      <c r="N32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5" s="7">
        <f>dataset!$K325+dataset!$M325</f>
        <v>603660</v>
      </c>
      <c r="P325" s="7">
        <f>Payroll_Data_Analysis[[#This Row],[Annual Salary + KPI Bonus]]/12/29.3*31</f>
        <v>53223.720136518765</v>
      </c>
      <c r="Q32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25" s="7">
        <f>Payroll_Data_Analysis[[#This Row],[Monthly Salary]]*11</f>
        <v>506000</v>
      </c>
      <c r="S32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25" s="7">
        <f>IF(Payroll_Data_Analysis[[#This Row],[Base Salary (Monthly)]]&gt;=200000,69507,IF(Payroll_Data_Analysis[[#This Row],[Base Salary (Monthly)]]&gt;=145000,52684,35103))</f>
        <v>35103</v>
      </c>
      <c r="U325" s="7">
        <f>Payroll_Data_Analysis[[#This Row],[Annual KPI Bonus Reserve]]+Payroll_Data_Analysis[[#This Row],[Vacation Reserve]]+Payroll_Data_Analysis[[#This Row],[11-Month Salary]]</f>
        <v>610883.72013651882</v>
      </c>
      <c r="V325" s="7">
        <f>Payroll_Data_Analysis[[#This Row],[Payroll Taxes (KPI Bonus)]]+Payroll_Data_Analysis[[#This Row],[Payroll Taxes (Vacation)]]+Payroll_Data_Analysis[[#This Row],[Payroll Taxes (Salary)]]</f>
        <v>184486.88348122867</v>
      </c>
      <c r="W325" s="13">
        <f>Payroll_Data_Analysis[[#This Row],[Total Payroll]]+Payroll_Data_Analysis[[#This Row],[Total Payroll Taxes]]</f>
        <v>795370.60361774755</v>
      </c>
    </row>
    <row r="326" spans="1:23">
      <c r="A326" s="11" t="s">
        <v>664</v>
      </c>
      <c r="B326" s="5" t="s">
        <v>329</v>
      </c>
      <c r="C326" s="5" t="s">
        <v>733</v>
      </c>
      <c r="D326" s="28" t="str">
        <f>VLOOKUP(Payroll_Data_Analysis[[#This Row],[Position]],Position_Map!$A$2:$B$58,2,FALSE)</f>
        <v>Facilities</v>
      </c>
      <c r="E326" s="6">
        <v>1</v>
      </c>
      <c r="F326" s="7">
        <v>46000</v>
      </c>
      <c r="G326" s="7">
        <v>35000</v>
      </c>
      <c r="H326" s="7"/>
      <c r="I326" s="7">
        <f>dataset!$F326-dataset!$J326-dataset!$G326-dataset!$H326</f>
        <v>8200</v>
      </c>
      <c r="J326" s="7">
        <f>dataset!$G326*0.08</f>
        <v>2800</v>
      </c>
      <c r="K326" s="7">
        <f>dataset!$F326*12</f>
        <v>552000</v>
      </c>
      <c r="L326" s="12">
        <f>IF(dataset!$G326&gt;=200000,38%,IF(dataset!$G326&lt;=145000,12.3%,))</f>
        <v>0.12300000000000001</v>
      </c>
      <c r="M326" s="7">
        <f>dataset!$G326*L327*12</f>
        <v>51660</v>
      </c>
      <c r="N32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6" s="7">
        <f>dataset!$K326+dataset!$M326</f>
        <v>603660</v>
      </c>
      <c r="P326" s="7">
        <f>Payroll_Data_Analysis[[#This Row],[Annual Salary + KPI Bonus]]/12/29.3*31</f>
        <v>53223.720136518765</v>
      </c>
      <c r="Q32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26" s="7">
        <f>Payroll_Data_Analysis[[#This Row],[Monthly Salary]]*11</f>
        <v>506000</v>
      </c>
      <c r="S32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26" s="7">
        <f>IF(Payroll_Data_Analysis[[#This Row],[Base Salary (Monthly)]]&gt;=200000,69507,IF(Payroll_Data_Analysis[[#This Row],[Base Salary (Monthly)]]&gt;=145000,52684,35103))</f>
        <v>35103</v>
      </c>
      <c r="U326" s="7">
        <f>Payroll_Data_Analysis[[#This Row],[Annual KPI Bonus Reserve]]+Payroll_Data_Analysis[[#This Row],[Vacation Reserve]]+Payroll_Data_Analysis[[#This Row],[11-Month Salary]]</f>
        <v>610883.72013651882</v>
      </c>
      <c r="V326" s="7">
        <f>Payroll_Data_Analysis[[#This Row],[Payroll Taxes (KPI Bonus)]]+Payroll_Data_Analysis[[#This Row],[Payroll Taxes (Vacation)]]+Payroll_Data_Analysis[[#This Row],[Payroll Taxes (Salary)]]</f>
        <v>184486.88348122867</v>
      </c>
      <c r="W326" s="13">
        <f>Payroll_Data_Analysis[[#This Row],[Total Payroll]]+Payroll_Data_Analysis[[#This Row],[Total Payroll Taxes]]</f>
        <v>795370.60361774755</v>
      </c>
    </row>
    <row r="327" spans="1:23">
      <c r="A327" s="11" t="s">
        <v>664</v>
      </c>
      <c r="B327" s="5" t="s">
        <v>330</v>
      </c>
      <c r="C327" s="5" t="s">
        <v>733</v>
      </c>
      <c r="D327" s="28" t="str">
        <f>VLOOKUP(Payroll_Data_Analysis[[#This Row],[Position]],Position_Map!$A$2:$B$58,2,FALSE)</f>
        <v>Facilities</v>
      </c>
      <c r="E327" s="6">
        <v>1</v>
      </c>
      <c r="F327" s="7">
        <v>50200</v>
      </c>
      <c r="G327" s="7">
        <v>35000</v>
      </c>
      <c r="H327" s="7"/>
      <c r="I327" s="7">
        <f>dataset!$F327-dataset!$J327-dataset!$G327-dataset!$H327</f>
        <v>12400</v>
      </c>
      <c r="J327" s="7">
        <f>dataset!$G327*0.08</f>
        <v>2800</v>
      </c>
      <c r="K327" s="7">
        <f>dataset!$F327*12</f>
        <v>602400</v>
      </c>
      <c r="L327" s="12">
        <f>IF(dataset!$G327&gt;=200000,38%,IF(dataset!$G327&lt;=145000,12.3%,))</f>
        <v>0.12300000000000001</v>
      </c>
      <c r="M327" s="7">
        <f>dataset!$G327*L328*12</f>
        <v>51660</v>
      </c>
      <c r="N32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7" s="7">
        <f>dataset!$K327+dataset!$M327</f>
        <v>654060</v>
      </c>
      <c r="P327" s="7">
        <f>Payroll_Data_Analysis[[#This Row],[Annual Salary + KPI Bonus]]/12/29.3*31</f>
        <v>57667.406143344706</v>
      </c>
      <c r="Q327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327" s="7">
        <f>Payroll_Data_Analysis[[#This Row],[Monthly Salary]]*11</f>
        <v>552200</v>
      </c>
      <c r="S327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327" s="7">
        <f>IF(Payroll_Data_Analysis[[#This Row],[Base Salary (Monthly)]]&gt;=200000,69507,IF(Payroll_Data_Analysis[[#This Row],[Base Salary (Monthly)]]&gt;=145000,52684,35103))</f>
        <v>35103</v>
      </c>
      <c r="U327" s="7">
        <f>Payroll_Data_Analysis[[#This Row],[Annual KPI Bonus Reserve]]+Payroll_Data_Analysis[[#This Row],[Vacation Reserve]]+Payroll_Data_Analysis[[#This Row],[11-Month Salary]]</f>
        <v>661527.40614334471</v>
      </c>
      <c r="V327" s="7">
        <f>Payroll_Data_Analysis[[#This Row],[Payroll Taxes (KPI Bonus)]]+Payroll_Data_Analysis[[#This Row],[Payroll Taxes (Vacation)]]+Payroll_Data_Analysis[[#This Row],[Payroll Taxes (Salary)]]</f>
        <v>199781.2766552901</v>
      </c>
      <c r="W327" s="13">
        <f>Payroll_Data_Analysis[[#This Row],[Total Payroll]]+Payroll_Data_Analysis[[#This Row],[Total Payroll Taxes]]</f>
        <v>861308.68279863475</v>
      </c>
    </row>
    <row r="328" spans="1:23">
      <c r="A328" s="11" t="s">
        <v>664</v>
      </c>
      <c r="B328" s="5" t="s">
        <v>331</v>
      </c>
      <c r="C328" s="5" t="s">
        <v>733</v>
      </c>
      <c r="D328" s="28" t="str">
        <f>VLOOKUP(Payroll_Data_Analysis[[#This Row],[Position]],Position_Map!$A$2:$B$58,2,FALSE)</f>
        <v>Facilities</v>
      </c>
      <c r="E328" s="6">
        <v>1</v>
      </c>
      <c r="F328" s="7">
        <v>50200</v>
      </c>
      <c r="G328" s="7">
        <v>35000</v>
      </c>
      <c r="H328" s="7"/>
      <c r="I328" s="7">
        <f>dataset!$F328-dataset!$J328-dataset!$G328-dataset!$H328</f>
        <v>12400</v>
      </c>
      <c r="J328" s="7">
        <f>dataset!$G328*0.08</f>
        <v>2800</v>
      </c>
      <c r="K328" s="7">
        <f>dataset!$F328*12</f>
        <v>602400</v>
      </c>
      <c r="L328" s="12">
        <f>IF(dataset!$G328&gt;=200000,38%,IF(dataset!$G328&lt;=145000,12.3%,))</f>
        <v>0.12300000000000001</v>
      </c>
      <c r="M328" s="7">
        <f>dataset!$G328*L329*12</f>
        <v>51660</v>
      </c>
      <c r="N32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8" s="7">
        <f>dataset!$K328+dataset!$M328</f>
        <v>654060</v>
      </c>
      <c r="P328" s="7">
        <f>Payroll_Data_Analysis[[#This Row],[Annual Salary + KPI Bonus]]/12/29.3*31</f>
        <v>57667.406143344706</v>
      </c>
      <c r="Q328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328" s="7">
        <f>Payroll_Data_Analysis[[#This Row],[Monthly Salary]]*11</f>
        <v>552200</v>
      </c>
      <c r="S328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328" s="7">
        <f>IF(Payroll_Data_Analysis[[#This Row],[Base Salary (Monthly)]]&gt;=200000,69507,IF(Payroll_Data_Analysis[[#This Row],[Base Salary (Monthly)]]&gt;=145000,52684,35103))</f>
        <v>35103</v>
      </c>
      <c r="U328" s="7">
        <f>Payroll_Data_Analysis[[#This Row],[Annual KPI Bonus Reserve]]+Payroll_Data_Analysis[[#This Row],[Vacation Reserve]]+Payroll_Data_Analysis[[#This Row],[11-Month Salary]]</f>
        <v>661527.40614334471</v>
      </c>
      <c r="V328" s="7">
        <f>Payroll_Data_Analysis[[#This Row],[Payroll Taxes (KPI Bonus)]]+Payroll_Data_Analysis[[#This Row],[Payroll Taxes (Vacation)]]+Payroll_Data_Analysis[[#This Row],[Payroll Taxes (Salary)]]</f>
        <v>199781.2766552901</v>
      </c>
      <c r="W328" s="13">
        <f>Payroll_Data_Analysis[[#This Row],[Total Payroll]]+Payroll_Data_Analysis[[#This Row],[Total Payroll Taxes]]</f>
        <v>861308.68279863475</v>
      </c>
    </row>
    <row r="329" spans="1:23">
      <c r="A329" s="11" t="s">
        <v>664</v>
      </c>
      <c r="B329" s="5" t="s">
        <v>332</v>
      </c>
      <c r="C329" s="5" t="s">
        <v>733</v>
      </c>
      <c r="D329" s="28" t="str">
        <f>VLOOKUP(Payroll_Data_Analysis[[#This Row],[Position]],Position_Map!$A$2:$B$58,2,FALSE)</f>
        <v>Facilities</v>
      </c>
      <c r="E329" s="6">
        <v>1</v>
      </c>
      <c r="F329" s="7">
        <v>57800</v>
      </c>
      <c r="G329" s="7">
        <v>35000</v>
      </c>
      <c r="H329" s="7"/>
      <c r="I329" s="7">
        <f>dataset!$F329-dataset!$J329-dataset!$G329-dataset!$H329</f>
        <v>20000</v>
      </c>
      <c r="J329" s="7">
        <f>dataset!$G329*0.08</f>
        <v>2800</v>
      </c>
      <c r="K329" s="7">
        <f>dataset!$F329*12</f>
        <v>693600</v>
      </c>
      <c r="L329" s="12">
        <f>IF(dataset!$G329&gt;=200000,38%,IF(dataset!$G329&lt;=145000,12.3%,))</f>
        <v>0.12300000000000001</v>
      </c>
      <c r="M329" s="7">
        <f>dataset!$G329*L330*12</f>
        <v>51660</v>
      </c>
      <c r="N32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29" s="7">
        <f>dataset!$K329+dataset!$M329</f>
        <v>745260</v>
      </c>
      <c r="P329" s="7">
        <f>Payroll_Data_Analysis[[#This Row],[Annual Salary + KPI Bonus]]/12/29.3*31</f>
        <v>65708.361774744029</v>
      </c>
      <c r="Q329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29" s="7">
        <f>Payroll_Data_Analysis[[#This Row],[Monthly Salary]]*11</f>
        <v>635800</v>
      </c>
      <c r="S329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29" s="7">
        <f>IF(Payroll_Data_Analysis[[#This Row],[Base Salary (Monthly)]]&gt;=200000,69507,IF(Payroll_Data_Analysis[[#This Row],[Base Salary (Monthly)]]&gt;=145000,52684,35103))</f>
        <v>35103</v>
      </c>
      <c r="U329" s="7">
        <f>Payroll_Data_Analysis[[#This Row],[Annual KPI Bonus Reserve]]+Payroll_Data_Analysis[[#This Row],[Vacation Reserve]]+Payroll_Data_Analysis[[#This Row],[11-Month Salary]]</f>
        <v>753168.361774744</v>
      </c>
      <c r="V329" s="7">
        <f>Payroll_Data_Analysis[[#This Row],[Payroll Taxes (KPI Bonus)]]+Payroll_Data_Analysis[[#This Row],[Payroll Taxes (Vacation)]]+Payroll_Data_Analysis[[#This Row],[Payroll Taxes (Salary)]]</f>
        <v>227456.8452559727</v>
      </c>
      <c r="W329" s="13">
        <f>Payroll_Data_Analysis[[#This Row],[Total Payroll]]+Payroll_Data_Analysis[[#This Row],[Total Payroll Taxes]]</f>
        <v>980625.2070307167</v>
      </c>
    </row>
    <row r="330" spans="1:23">
      <c r="A330" s="11" t="s">
        <v>664</v>
      </c>
      <c r="B330" s="5" t="s">
        <v>333</v>
      </c>
      <c r="C330" s="5" t="s">
        <v>733</v>
      </c>
      <c r="D330" s="28" t="str">
        <f>VLOOKUP(Payroll_Data_Analysis[[#This Row],[Position]],Position_Map!$A$2:$B$58,2,FALSE)</f>
        <v>Facilities</v>
      </c>
      <c r="E330" s="6">
        <v>1</v>
      </c>
      <c r="F330" s="7">
        <v>57800</v>
      </c>
      <c r="G330" s="7">
        <v>35000</v>
      </c>
      <c r="H330" s="7"/>
      <c r="I330" s="7">
        <f>dataset!$F330-dataset!$J330-dataset!$G330-dataset!$H330</f>
        <v>20000</v>
      </c>
      <c r="J330" s="7">
        <f>dataset!$G330*0.08</f>
        <v>2800</v>
      </c>
      <c r="K330" s="7">
        <f>dataset!$F330*12</f>
        <v>693600</v>
      </c>
      <c r="L330" s="12">
        <f>IF(dataset!$G330&gt;=200000,38%,IF(dataset!$G330&lt;=145000,12.3%,))</f>
        <v>0.12300000000000001</v>
      </c>
      <c r="M330" s="7">
        <f>dataset!$G330*L331*12</f>
        <v>51660</v>
      </c>
      <c r="N33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0" s="7">
        <f>dataset!$K330+dataset!$M330</f>
        <v>745260</v>
      </c>
      <c r="P330" s="7">
        <f>Payroll_Data_Analysis[[#This Row],[Annual Salary + KPI Bonus]]/12/29.3*31</f>
        <v>65708.361774744029</v>
      </c>
      <c r="Q330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30" s="7">
        <f>Payroll_Data_Analysis[[#This Row],[Monthly Salary]]*11</f>
        <v>635800</v>
      </c>
      <c r="S330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30" s="7">
        <f>IF(Payroll_Data_Analysis[[#This Row],[Base Salary (Monthly)]]&gt;=200000,69507,IF(Payroll_Data_Analysis[[#This Row],[Base Salary (Monthly)]]&gt;=145000,52684,35103))</f>
        <v>35103</v>
      </c>
      <c r="U330" s="7">
        <f>Payroll_Data_Analysis[[#This Row],[Annual KPI Bonus Reserve]]+Payroll_Data_Analysis[[#This Row],[Vacation Reserve]]+Payroll_Data_Analysis[[#This Row],[11-Month Salary]]</f>
        <v>753168.361774744</v>
      </c>
      <c r="V330" s="7">
        <f>Payroll_Data_Analysis[[#This Row],[Payroll Taxes (KPI Bonus)]]+Payroll_Data_Analysis[[#This Row],[Payroll Taxes (Vacation)]]+Payroll_Data_Analysis[[#This Row],[Payroll Taxes (Salary)]]</f>
        <v>227456.8452559727</v>
      </c>
      <c r="W330" s="13">
        <f>Payroll_Data_Analysis[[#This Row],[Total Payroll]]+Payroll_Data_Analysis[[#This Row],[Total Payroll Taxes]]</f>
        <v>980625.2070307167</v>
      </c>
    </row>
    <row r="331" spans="1:23">
      <c r="A331" s="11" t="s">
        <v>664</v>
      </c>
      <c r="B331" s="5" t="s">
        <v>334</v>
      </c>
      <c r="C331" s="5" t="s">
        <v>733</v>
      </c>
      <c r="D331" s="28" t="str">
        <f>VLOOKUP(Payroll_Data_Analysis[[#This Row],[Position]],Position_Map!$A$2:$B$58,2,FALSE)</f>
        <v>Facilities</v>
      </c>
      <c r="E331" s="6">
        <v>1</v>
      </c>
      <c r="F331" s="7">
        <v>57800</v>
      </c>
      <c r="G331" s="7">
        <v>35000</v>
      </c>
      <c r="H331" s="7"/>
      <c r="I331" s="7">
        <f>dataset!$F331-dataset!$J331-dataset!$G331-dataset!$H331</f>
        <v>20000</v>
      </c>
      <c r="J331" s="7">
        <f>dataset!$G331*0.08</f>
        <v>2800</v>
      </c>
      <c r="K331" s="7">
        <f>dataset!$F331*12</f>
        <v>693600</v>
      </c>
      <c r="L331" s="12">
        <f>IF(dataset!$G331&gt;=200000,38%,IF(dataset!$G331&lt;=145000,12.3%,))</f>
        <v>0.12300000000000001</v>
      </c>
      <c r="M331" s="7">
        <f>dataset!$G331*L332*12</f>
        <v>51660</v>
      </c>
      <c r="N33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1" s="7">
        <f>dataset!$K331+dataset!$M331</f>
        <v>745260</v>
      </c>
      <c r="P331" s="7">
        <f>Payroll_Data_Analysis[[#This Row],[Annual Salary + KPI Bonus]]/12/29.3*31</f>
        <v>65708.361774744029</v>
      </c>
      <c r="Q331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31" s="7">
        <f>Payroll_Data_Analysis[[#This Row],[Monthly Salary]]*11</f>
        <v>635800</v>
      </c>
      <c r="S331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31" s="7">
        <f>IF(Payroll_Data_Analysis[[#This Row],[Base Salary (Monthly)]]&gt;=200000,69507,IF(Payroll_Data_Analysis[[#This Row],[Base Salary (Monthly)]]&gt;=145000,52684,35103))</f>
        <v>35103</v>
      </c>
      <c r="U331" s="7">
        <f>Payroll_Data_Analysis[[#This Row],[Annual KPI Bonus Reserve]]+Payroll_Data_Analysis[[#This Row],[Vacation Reserve]]+Payroll_Data_Analysis[[#This Row],[11-Month Salary]]</f>
        <v>753168.361774744</v>
      </c>
      <c r="V331" s="7">
        <f>Payroll_Data_Analysis[[#This Row],[Payroll Taxes (KPI Bonus)]]+Payroll_Data_Analysis[[#This Row],[Payroll Taxes (Vacation)]]+Payroll_Data_Analysis[[#This Row],[Payroll Taxes (Salary)]]</f>
        <v>227456.8452559727</v>
      </c>
      <c r="W331" s="13">
        <f>Payroll_Data_Analysis[[#This Row],[Total Payroll]]+Payroll_Data_Analysis[[#This Row],[Total Payroll Taxes]]</f>
        <v>980625.2070307167</v>
      </c>
    </row>
    <row r="332" spans="1:23">
      <c r="A332" s="11" t="s">
        <v>664</v>
      </c>
      <c r="B332" s="5" t="s">
        <v>335</v>
      </c>
      <c r="C332" s="5" t="s">
        <v>733</v>
      </c>
      <c r="D332" s="28" t="str">
        <f>VLOOKUP(Payroll_Data_Analysis[[#This Row],[Position]],Position_Map!$A$2:$B$58,2,FALSE)</f>
        <v>Facilities</v>
      </c>
      <c r="E332" s="6">
        <v>1</v>
      </c>
      <c r="F332" s="7">
        <v>74000</v>
      </c>
      <c r="G332" s="7">
        <v>35000</v>
      </c>
      <c r="H332" s="7"/>
      <c r="I332" s="7">
        <f>dataset!$F332-dataset!$J332-dataset!$G332-dataset!$H332</f>
        <v>36200</v>
      </c>
      <c r="J332" s="7">
        <f>dataset!$G332*0.08</f>
        <v>2800</v>
      </c>
      <c r="K332" s="7">
        <f>dataset!$F332*12</f>
        <v>888000</v>
      </c>
      <c r="L332" s="12">
        <f>IF(dataset!$G332&gt;=200000,38%,IF(dataset!$G332&lt;=145000,12.3%,))</f>
        <v>0.12300000000000001</v>
      </c>
      <c r="M332" s="7">
        <f>dataset!$G332*L333*12</f>
        <v>51660</v>
      </c>
      <c r="N33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2" s="7">
        <f>dataset!$K332+dataset!$M332</f>
        <v>939660</v>
      </c>
      <c r="P332" s="7">
        <f>Payroll_Data_Analysis[[#This Row],[Annual Salary + KPI Bonus]]/12/29.3*31</f>
        <v>82848.293515358368</v>
      </c>
      <c r="Q332" s="7">
        <f>IF(Payroll_Data_Analysis[[#This Row],[Vacation Reserve]]&lt;=2979000,Payroll_Data_Analysis[[#This Row],[Vacation Reserve]]*0.302,2979000*0.302+(Payroll_Data_Analysis[[#This Row],[Vacation Reserve]]-2979000)*0.151)</f>
        <v>25020.184641638225</v>
      </c>
      <c r="R332" s="7">
        <f>Payroll_Data_Analysis[[#This Row],[Monthly Salary]]*11</f>
        <v>814000</v>
      </c>
      <c r="S332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332" s="7">
        <f>IF(Payroll_Data_Analysis[[#This Row],[Base Salary (Monthly)]]&gt;=200000,69507,IF(Payroll_Data_Analysis[[#This Row],[Base Salary (Monthly)]]&gt;=145000,52684,35103))</f>
        <v>35103</v>
      </c>
      <c r="U332" s="7">
        <f>Payroll_Data_Analysis[[#This Row],[Annual KPI Bonus Reserve]]+Payroll_Data_Analysis[[#This Row],[Vacation Reserve]]+Payroll_Data_Analysis[[#This Row],[11-Month Salary]]</f>
        <v>948508.29351535835</v>
      </c>
      <c r="V332" s="7">
        <f>Payroll_Data_Analysis[[#This Row],[Payroll Taxes (KPI Bonus)]]+Payroll_Data_Analysis[[#This Row],[Payroll Taxes (Vacation)]]+Payroll_Data_Analysis[[#This Row],[Payroll Taxes (Salary)]]</f>
        <v>286449.50464163825</v>
      </c>
      <c r="W332" s="13">
        <f>Payroll_Data_Analysis[[#This Row],[Total Payroll]]+Payroll_Data_Analysis[[#This Row],[Total Payroll Taxes]]</f>
        <v>1234957.7981569967</v>
      </c>
    </row>
    <row r="333" spans="1:23">
      <c r="A333" s="11" t="s">
        <v>664</v>
      </c>
      <c r="B333" s="5" t="s">
        <v>336</v>
      </c>
      <c r="C333" s="5" t="s">
        <v>733</v>
      </c>
      <c r="D333" s="28" t="str">
        <f>VLOOKUP(Payroll_Data_Analysis[[#This Row],[Position]],Position_Map!$A$2:$B$58,2,FALSE)</f>
        <v>Facilities</v>
      </c>
      <c r="E333" s="6">
        <v>1</v>
      </c>
      <c r="F333" s="7">
        <v>74000</v>
      </c>
      <c r="G333" s="7">
        <v>35000</v>
      </c>
      <c r="H333" s="7"/>
      <c r="I333" s="7">
        <f>dataset!$F333-dataset!$J333-dataset!$G333-dataset!$H333</f>
        <v>36200</v>
      </c>
      <c r="J333" s="7">
        <f>dataset!$G333*0.08</f>
        <v>2800</v>
      </c>
      <c r="K333" s="7">
        <f>dataset!$F333*12</f>
        <v>888000</v>
      </c>
      <c r="L333" s="12">
        <f>IF(dataset!$G333&gt;=200000,38%,IF(dataset!$G333&lt;=145000,12.3%,))</f>
        <v>0.12300000000000001</v>
      </c>
      <c r="M333" s="7">
        <f>dataset!$G333*L334*12</f>
        <v>51660</v>
      </c>
      <c r="N33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3" s="7">
        <f>dataset!$K333+dataset!$M333</f>
        <v>939660</v>
      </c>
      <c r="P333" s="7">
        <f>Payroll_Data_Analysis[[#This Row],[Annual Salary + KPI Bonus]]/12/29.3*31</f>
        <v>82848.293515358368</v>
      </c>
      <c r="Q333" s="7">
        <f>IF(Payroll_Data_Analysis[[#This Row],[Vacation Reserve]]&lt;=2979000,Payroll_Data_Analysis[[#This Row],[Vacation Reserve]]*0.302,2979000*0.302+(Payroll_Data_Analysis[[#This Row],[Vacation Reserve]]-2979000)*0.151)</f>
        <v>25020.184641638225</v>
      </c>
      <c r="R333" s="7">
        <f>Payroll_Data_Analysis[[#This Row],[Monthly Salary]]*11</f>
        <v>814000</v>
      </c>
      <c r="S333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333" s="7">
        <f>IF(Payroll_Data_Analysis[[#This Row],[Base Salary (Monthly)]]&gt;=200000,69507,IF(Payroll_Data_Analysis[[#This Row],[Base Salary (Monthly)]]&gt;=145000,52684,35103))</f>
        <v>35103</v>
      </c>
      <c r="U333" s="7">
        <f>Payroll_Data_Analysis[[#This Row],[Annual KPI Bonus Reserve]]+Payroll_Data_Analysis[[#This Row],[Vacation Reserve]]+Payroll_Data_Analysis[[#This Row],[11-Month Salary]]</f>
        <v>948508.29351535835</v>
      </c>
      <c r="V333" s="7">
        <f>Payroll_Data_Analysis[[#This Row],[Payroll Taxes (KPI Bonus)]]+Payroll_Data_Analysis[[#This Row],[Payroll Taxes (Vacation)]]+Payroll_Data_Analysis[[#This Row],[Payroll Taxes (Salary)]]</f>
        <v>286449.50464163825</v>
      </c>
      <c r="W333" s="13">
        <f>Payroll_Data_Analysis[[#This Row],[Total Payroll]]+Payroll_Data_Analysis[[#This Row],[Total Payroll Taxes]]</f>
        <v>1234957.7981569967</v>
      </c>
    </row>
    <row r="334" spans="1:23">
      <c r="A334" s="11" t="s">
        <v>664</v>
      </c>
      <c r="B334" s="5" t="s">
        <v>337</v>
      </c>
      <c r="C334" s="5" t="s">
        <v>733</v>
      </c>
      <c r="D334" s="28" t="str">
        <f>VLOOKUP(Payroll_Data_Analysis[[#This Row],[Position]],Position_Map!$A$2:$B$58,2,FALSE)</f>
        <v>Facilities</v>
      </c>
      <c r="E334" s="6">
        <v>1</v>
      </c>
      <c r="F334" s="7">
        <v>54800</v>
      </c>
      <c r="G334" s="7">
        <v>35000</v>
      </c>
      <c r="H334" s="7"/>
      <c r="I334" s="7">
        <f>dataset!$F334-dataset!$J334-dataset!$G334-dataset!$H334</f>
        <v>17000</v>
      </c>
      <c r="J334" s="7">
        <f>dataset!$G334*0.08</f>
        <v>2800</v>
      </c>
      <c r="K334" s="7">
        <f>dataset!$F334*12</f>
        <v>657600</v>
      </c>
      <c r="L334" s="12">
        <f>IF(dataset!$G334&gt;=200000,38%,IF(dataset!$G334&lt;=145000,12.3%,))</f>
        <v>0.12300000000000001</v>
      </c>
      <c r="M334" s="7">
        <f>dataset!$G334*L335*12</f>
        <v>51660</v>
      </c>
      <c r="N33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4" s="7">
        <f>dataset!$K334+dataset!$M334</f>
        <v>709260</v>
      </c>
      <c r="P334" s="7">
        <f>Payroll_Data_Analysis[[#This Row],[Annual Salary + KPI Bonus]]/12/29.3*31</f>
        <v>62534.300341296926</v>
      </c>
      <c r="Q334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34" s="7">
        <f>Payroll_Data_Analysis[[#This Row],[Monthly Salary]]*11</f>
        <v>602800</v>
      </c>
      <c r="S334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34" s="7">
        <f>IF(Payroll_Data_Analysis[[#This Row],[Base Salary (Monthly)]]&gt;=200000,69507,IF(Payroll_Data_Analysis[[#This Row],[Base Salary (Monthly)]]&gt;=145000,52684,35103))</f>
        <v>35103</v>
      </c>
      <c r="U334" s="7">
        <f>Payroll_Data_Analysis[[#This Row],[Annual KPI Bonus Reserve]]+Payroll_Data_Analysis[[#This Row],[Vacation Reserve]]+Payroll_Data_Analysis[[#This Row],[11-Month Salary]]</f>
        <v>716994.30034129694</v>
      </c>
      <c r="V334" s="7">
        <f>Payroll_Data_Analysis[[#This Row],[Payroll Taxes (KPI Bonus)]]+Payroll_Data_Analysis[[#This Row],[Payroll Taxes (Vacation)]]+Payroll_Data_Analysis[[#This Row],[Payroll Taxes (Salary)]]</f>
        <v>216532.27870307167</v>
      </c>
      <c r="W334" s="13">
        <f>Payroll_Data_Analysis[[#This Row],[Total Payroll]]+Payroll_Data_Analysis[[#This Row],[Total Payroll Taxes]]</f>
        <v>933526.57904436858</v>
      </c>
    </row>
    <row r="335" spans="1:23">
      <c r="A335" s="11" t="s">
        <v>664</v>
      </c>
      <c r="B335" s="5" t="s">
        <v>338</v>
      </c>
      <c r="C335" s="5" t="s">
        <v>733</v>
      </c>
      <c r="D335" s="28" t="str">
        <f>VLOOKUP(Payroll_Data_Analysis[[#This Row],[Position]],Position_Map!$A$2:$B$58,2,FALSE)</f>
        <v>Facilities</v>
      </c>
      <c r="E335" s="6">
        <v>1</v>
      </c>
      <c r="F335" s="7">
        <v>50200</v>
      </c>
      <c r="G335" s="7">
        <v>35000</v>
      </c>
      <c r="H335" s="7"/>
      <c r="I335" s="7">
        <f>dataset!$F335-dataset!$J335-dataset!$G335-dataset!$H335</f>
        <v>12400</v>
      </c>
      <c r="J335" s="7">
        <f>dataset!$G335*0.08</f>
        <v>2800</v>
      </c>
      <c r="K335" s="7">
        <f>dataset!$F335*12</f>
        <v>602400</v>
      </c>
      <c r="L335" s="12">
        <f>IF(dataset!$G335&gt;=200000,38%,IF(dataset!$G335&lt;=145000,12.3%,))</f>
        <v>0.12300000000000001</v>
      </c>
      <c r="M335" s="7">
        <f>dataset!$G335*L336*12</f>
        <v>51660</v>
      </c>
      <c r="N33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5" s="7">
        <f>dataset!$K335+dataset!$M335</f>
        <v>654060</v>
      </c>
      <c r="P335" s="7">
        <f>Payroll_Data_Analysis[[#This Row],[Annual Salary + KPI Bonus]]/12/29.3*31</f>
        <v>57667.406143344706</v>
      </c>
      <c r="Q335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335" s="7">
        <f>Payroll_Data_Analysis[[#This Row],[Monthly Salary]]*11</f>
        <v>552200</v>
      </c>
      <c r="S335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335" s="7">
        <f>IF(Payroll_Data_Analysis[[#This Row],[Base Salary (Monthly)]]&gt;=200000,69507,IF(Payroll_Data_Analysis[[#This Row],[Base Salary (Monthly)]]&gt;=145000,52684,35103))</f>
        <v>35103</v>
      </c>
      <c r="U335" s="7">
        <f>Payroll_Data_Analysis[[#This Row],[Annual KPI Bonus Reserve]]+Payroll_Data_Analysis[[#This Row],[Vacation Reserve]]+Payroll_Data_Analysis[[#This Row],[11-Month Salary]]</f>
        <v>661527.40614334471</v>
      </c>
      <c r="V335" s="7">
        <f>Payroll_Data_Analysis[[#This Row],[Payroll Taxes (KPI Bonus)]]+Payroll_Data_Analysis[[#This Row],[Payroll Taxes (Vacation)]]+Payroll_Data_Analysis[[#This Row],[Payroll Taxes (Salary)]]</f>
        <v>199781.2766552901</v>
      </c>
      <c r="W335" s="13">
        <f>Payroll_Data_Analysis[[#This Row],[Total Payroll]]+Payroll_Data_Analysis[[#This Row],[Total Payroll Taxes]]</f>
        <v>861308.68279863475</v>
      </c>
    </row>
    <row r="336" spans="1:23">
      <c r="A336" s="11" t="s">
        <v>664</v>
      </c>
      <c r="B336" s="5" t="s">
        <v>339</v>
      </c>
      <c r="C336" s="5" t="s">
        <v>733</v>
      </c>
      <c r="D336" s="28" t="str">
        <f>VLOOKUP(Payroll_Data_Analysis[[#This Row],[Position]],Position_Map!$A$2:$B$58,2,FALSE)</f>
        <v>Facilities</v>
      </c>
      <c r="E336" s="6">
        <v>1</v>
      </c>
      <c r="F336" s="7">
        <v>46400</v>
      </c>
      <c r="G336" s="7">
        <v>35000</v>
      </c>
      <c r="H336" s="7"/>
      <c r="I336" s="7">
        <f>dataset!$F336-dataset!$J336-dataset!$G336-dataset!$H336</f>
        <v>8600</v>
      </c>
      <c r="J336" s="7">
        <f>dataset!$G336*0.08</f>
        <v>2800</v>
      </c>
      <c r="K336" s="7">
        <f>dataset!$F336*12</f>
        <v>556800</v>
      </c>
      <c r="L336" s="12">
        <f>IF(dataset!$G336&gt;=200000,38%,IF(dataset!$G336&lt;=145000,12.3%,))</f>
        <v>0.12300000000000001</v>
      </c>
      <c r="M336" s="7">
        <f>dataset!$G336*L337*12</f>
        <v>51660</v>
      </c>
      <c r="N33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6" s="7">
        <f>dataset!$K336+dataset!$M336</f>
        <v>608460</v>
      </c>
      <c r="P336" s="7">
        <f>Payroll_Data_Analysis[[#This Row],[Annual Salary + KPI Bonus]]/12/29.3*31</f>
        <v>53646.928327645051</v>
      </c>
      <c r="Q336" s="7">
        <f>IF(Payroll_Data_Analysis[[#This Row],[Vacation Reserve]]&lt;=2979000,Payroll_Data_Analysis[[#This Row],[Vacation Reserve]]*0.302,2979000*0.302+(Payroll_Data_Analysis[[#This Row],[Vacation Reserve]]-2979000)*0.151)</f>
        <v>16201.372354948806</v>
      </c>
      <c r="R336" s="7">
        <f>Payroll_Data_Analysis[[#This Row],[Monthly Salary]]*11</f>
        <v>510400</v>
      </c>
      <c r="S336" s="7">
        <f>IF(Payroll_Data_Analysis[[#This Row],[11-Month Salary]]&lt;=2979000,Payroll_Data_Analysis[[#This Row],[11-Month Salary]]*0.302,2979000*0.302+(Payroll_Data_Analysis[[#This Row],[11-Month Salary]]-2979000)*0.151)</f>
        <v>154140.79999999999</v>
      </c>
      <c r="T336" s="7">
        <f>IF(Payroll_Data_Analysis[[#This Row],[Base Salary (Monthly)]]&gt;=200000,69507,IF(Payroll_Data_Analysis[[#This Row],[Base Salary (Monthly)]]&gt;=145000,52684,35103))</f>
        <v>35103</v>
      </c>
      <c r="U336" s="7">
        <f>Payroll_Data_Analysis[[#This Row],[Annual KPI Bonus Reserve]]+Payroll_Data_Analysis[[#This Row],[Vacation Reserve]]+Payroll_Data_Analysis[[#This Row],[11-Month Salary]]</f>
        <v>615706.92832764506</v>
      </c>
      <c r="V336" s="7">
        <f>Payroll_Data_Analysis[[#This Row],[Payroll Taxes (KPI Bonus)]]+Payroll_Data_Analysis[[#This Row],[Payroll Taxes (Vacation)]]+Payroll_Data_Analysis[[#This Row],[Payroll Taxes (Salary)]]</f>
        <v>185943.4923549488</v>
      </c>
      <c r="W336" s="13">
        <f>Payroll_Data_Analysis[[#This Row],[Total Payroll]]+Payroll_Data_Analysis[[#This Row],[Total Payroll Taxes]]</f>
        <v>801650.42068259383</v>
      </c>
    </row>
    <row r="337" spans="1:23">
      <c r="A337" s="11" t="s">
        <v>664</v>
      </c>
      <c r="B337" s="5" t="s">
        <v>340</v>
      </c>
      <c r="C337" s="5" t="s">
        <v>733</v>
      </c>
      <c r="D337" s="28" t="str">
        <f>VLOOKUP(Payroll_Data_Analysis[[#This Row],[Position]],Position_Map!$A$2:$B$58,2,FALSE)</f>
        <v>Facilities</v>
      </c>
      <c r="E337" s="6">
        <v>1</v>
      </c>
      <c r="F337" s="7">
        <v>54800</v>
      </c>
      <c r="G337" s="7">
        <v>35000</v>
      </c>
      <c r="H337" s="7"/>
      <c r="I337" s="7">
        <f>dataset!$F337-dataset!$J337-dataset!$G337-dataset!$H337</f>
        <v>17000</v>
      </c>
      <c r="J337" s="7">
        <f>dataset!$G337*0.08</f>
        <v>2800</v>
      </c>
      <c r="K337" s="7">
        <f>dataset!$F337*12</f>
        <v>657600</v>
      </c>
      <c r="L337" s="12">
        <f>IF(dataset!$G337&gt;=200000,38%,IF(dataset!$G337&lt;=145000,12.3%,))</f>
        <v>0.12300000000000001</v>
      </c>
      <c r="M337" s="7">
        <f>dataset!$G337*L338*12</f>
        <v>51660</v>
      </c>
      <c r="N33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7" s="7">
        <f>dataset!$K337+dataset!$M337</f>
        <v>709260</v>
      </c>
      <c r="P337" s="7">
        <f>Payroll_Data_Analysis[[#This Row],[Annual Salary + KPI Bonus]]/12/29.3*31</f>
        <v>62534.300341296926</v>
      </c>
      <c r="Q337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37" s="7">
        <f>Payroll_Data_Analysis[[#This Row],[Monthly Salary]]*11</f>
        <v>602800</v>
      </c>
      <c r="S337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37" s="7">
        <f>IF(Payroll_Data_Analysis[[#This Row],[Base Salary (Monthly)]]&gt;=200000,69507,IF(Payroll_Data_Analysis[[#This Row],[Base Salary (Monthly)]]&gt;=145000,52684,35103))</f>
        <v>35103</v>
      </c>
      <c r="U337" s="7">
        <f>Payroll_Data_Analysis[[#This Row],[Annual KPI Bonus Reserve]]+Payroll_Data_Analysis[[#This Row],[Vacation Reserve]]+Payroll_Data_Analysis[[#This Row],[11-Month Salary]]</f>
        <v>716994.30034129694</v>
      </c>
      <c r="V337" s="7">
        <f>Payroll_Data_Analysis[[#This Row],[Payroll Taxes (KPI Bonus)]]+Payroll_Data_Analysis[[#This Row],[Payroll Taxes (Vacation)]]+Payroll_Data_Analysis[[#This Row],[Payroll Taxes (Salary)]]</f>
        <v>216532.27870307167</v>
      </c>
      <c r="W337" s="13">
        <f>Payroll_Data_Analysis[[#This Row],[Total Payroll]]+Payroll_Data_Analysis[[#This Row],[Total Payroll Taxes]]</f>
        <v>933526.57904436858</v>
      </c>
    </row>
    <row r="338" spans="1:23">
      <c r="A338" s="11" t="s">
        <v>664</v>
      </c>
      <c r="B338" s="5" t="s">
        <v>341</v>
      </c>
      <c r="C338" s="5" t="s">
        <v>733</v>
      </c>
      <c r="D338" s="28" t="str">
        <f>VLOOKUP(Payroll_Data_Analysis[[#This Row],[Position]],Position_Map!$A$2:$B$58,2,FALSE)</f>
        <v>Facilities</v>
      </c>
      <c r="E338" s="6">
        <v>1</v>
      </c>
      <c r="F338" s="7">
        <v>81000</v>
      </c>
      <c r="G338" s="7">
        <v>50000</v>
      </c>
      <c r="H338" s="7"/>
      <c r="I338" s="7">
        <f>dataset!$F338-dataset!$J338-dataset!$G338-dataset!$H338</f>
        <v>27000</v>
      </c>
      <c r="J338" s="7">
        <f>dataset!$G338*0.08</f>
        <v>4000</v>
      </c>
      <c r="K338" s="7">
        <f>dataset!$F338*12</f>
        <v>972000</v>
      </c>
      <c r="L338" s="12">
        <f>IF(dataset!$G338&gt;=200000,38%,IF(dataset!$G338&lt;=145000,12.3%,))</f>
        <v>0.12300000000000001</v>
      </c>
      <c r="M338" s="7">
        <f>dataset!$G338*L339*12</f>
        <v>73800.000000000015</v>
      </c>
      <c r="N338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338" s="7">
        <f>dataset!$K338+dataset!$M338</f>
        <v>1045800</v>
      </c>
      <c r="P338" s="7">
        <f>Payroll_Data_Analysis[[#This Row],[Annual Salary + KPI Bonus]]/12/29.3*31</f>
        <v>92206.484641638221</v>
      </c>
      <c r="Q338" s="7">
        <f>IF(Payroll_Data_Analysis[[#This Row],[Vacation Reserve]]&lt;=2979000,Payroll_Data_Analysis[[#This Row],[Vacation Reserve]]*0.302,2979000*0.302+(Payroll_Data_Analysis[[#This Row],[Vacation Reserve]]-2979000)*0.151)</f>
        <v>27846.358361774743</v>
      </c>
      <c r="R338" s="7">
        <f>Payroll_Data_Analysis[[#This Row],[Monthly Salary]]*11</f>
        <v>891000</v>
      </c>
      <c r="S338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338" s="7">
        <f>IF(Payroll_Data_Analysis[[#This Row],[Base Salary (Monthly)]]&gt;=200000,69507,IF(Payroll_Data_Analysis[[#This Row],[Base Salary (Monthly)]]&gt;=145000,52684,35103))</f>
        <v>35103</v>
      </c>
      <c r="U338" s="7">
        <f>Payroll_Data_Analysis[[#This Row],[Annual KPI Bonus Reserve]]+Payroll_Data_Analysis[[#This Row],[Vacation Reserve]]+Payroll_Data_Analysis[[#This Row],[11-Month Salary]]</f>
        <v>1057006.4846416381</v>
      </c>
      <c r="V338" s="7">
        <f>Payroll_Data_Analysis[[#This Row],[Payroll Taxes (KPI Bonus)]]+Payroll_Data_Analysis[[#This Row],[Payroll Taxes (Vacation)]]+Payroll_Data_Analysis[[#This Row],[Payroll Taxes (Salary)]]</f>
        <v>319215.95836177474</v>
      </c>
      <c r="W338" s="13">
        <f>Payroll_Data_Analysis[[#This Row],[Total Payroll]]+Payroll_Data_Analysis[[#This Row],[Total Payroll Taxes]]</f>
        <v>1376222.4430034128</v>
      </c>
    </row>
    <row r="339" spans="1:23">
      <c r="A339" s="11" t="s">
        <v>664</v>
      </c>
      <c r="B339" s="5" t="s">
        <v>342</v>
      </c>
      <c r="C339" s="5" t="s">
        <v>733</v>
      </c>
      <c r="D339" s="28" t="str">
        <f>VLOOKUP(Payroll_Data_Analysis[[#This Row],[Position]],Position_Map!$A$2:$B$58,2,FALSE)</f>
        <v>Facilities</v>
      </c>
      <c r="E339" s="6">
        <v>1</v>
      </c>
      <c r="F339" s="7">
        <v>54800</v>
      </c>
      <c r="G339" s="7">
        <v>35000</v>
      </c>
      <c r="H339" s="7"/>
      <c r="I339" s="7">
        <f>dataset!$F339-dataset!$J339-dataset!$G339-dataset!$H339</f>
        <v>17000</v>
      </c>
      <c r="J339" s="7">
        <f>dataset!$G339*0.08</f>
        <v>2800</v>
      </c>
      <c r="K339" s="7">
        <f>dataset!$F339*12</f>
        <v>657600</v>
      </c>
      <c r="L339" s="12">
        <f>IF(dataset!$G339&gt;=200000,38%,IF(dataset!$G339&lt;=145000,12.3%,))</f>
        <v>0.12300000000000001</v>
      </c>
      <c r="M339" s="7">
        <f>dataset!$G339*L340*12</f>
        <v>51660</v>
      </c>
      <c r="N33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39" s="7">
        <f>dataset!$K339+dataset!$M339</f>
        <v>709260</v>
      </c>
      <c r="P339" s="7">
        <f>Payroll_Data_Analysis[[#This Row],[Annual Salary + KPI Bonus]]/12/29.3*31</f>
        <v>62534.300341296926</v>
      </c>
      <c r="Q339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39" s="7">
        <f>Payroll_Data_Analysis[[#This Row],[Monthly Salary]]*11</f>
        <v>602800</v>
      </c>
      <c r="S339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39" s="7">
        <f>IF(Payroll_Data_Analysis[[#This Row],[Base Salary (Monthly)]]&gt;=200000,69507,IF(Payroll_Data_Analysis[[#This Row],[Base Salary (Monthly)]]&gt;=145000,52684,35103))</f>
        <v>35103</v>
      </c>
      <c r="U339" s="7">
        <f>Payroll_Data_Analysis[[#This Row],[Annual KPI Bonus Reserve]]+Payroll_Data_Analysis[[#This Row],[Vacation Reserve]]+Payroll_Data_Analysis[[#This Row],[11-Month Salary]]</f>
        <v>716994.30034129694</v>
      </c>
      <c r="V339" s="7">
        <f>Payroll_Data_Analysis[[#This Row],[Payroll Taxes (KPI Bonus)]]+Payroll_Data_Analysis[[#This Row],[Payroll Taxes (Vacation)]]+Payroll_Data_Analysis[[#This Row],[Payroll Taxes (Salary)]]</f>
        <v>216532.27870307167</v>
      </c>
      <c r="W339" s="13">
        <f>Payroll_Data_Analysis[[#This Row],[Total Payroll]]+Payroll_Data_Analysis[[#This Row],[Total Payroll Taxes]]</f>
        <v>933526.57904436858</v>
      </c>
    </row>
    <row r="340" spans="1:23">
      <c r="A340" s="11" t="s">
        <v>664</v>
      </c>
      <c r="B340" s="5" t="s">
        <v>343</v>
      </c>
      <c r="C340" s="5" t="s">
        <v>733</v>
      </c>
      <c r="D340" s="28" t="str">
        <f>VLOOKUP(Payroll_Data_Analysis[[#This Row],[Position]],Position_Map!$A$2:$B$58,2,FALSE)</f>
        <v>Facilities</v>
      </c>
      <c r="E340" s="6">
        <v>1</v>
      </c>
      <c r="F340" s="7">
        <v>57800</v>
      </c>
      <c r="G340" s="7">
        <v>35000</v>
      </c>
      <c r="H340" s="7"/>
      <c r="I340" s="7">
        <f>dataset!$F340-dataset!$J340-dataset!$G340-dataset!$H340</f>
        <v>20000</v>
      </c>
      <c r="J340" s="7">
        <f>dataset!$G340*0.08</f>
        <v>2800</v>
      </c>
      <c r="K340" s="7">
        <f>dataset!$F340*12</f>
        <v>693600</v>
      </c>
      <c r="L340" s="12">
        <f>IF(dataset!$G340&gt;=200000,38%,IF(dataset!$G340&lt;=145000,12.3%,))</f>
        <v>0.12300000000000001</v>
      </c>
      <c r="M340" s="7">
        <f>dataset!$G340*L341*12</f>
        <v>51660</v>
      </c>
      <c r="N34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0" s="7">
        <f>dataset!$K340+dataset!$M340</f>
        <v>745260</v>
      </c>
      <c r="P340" s="7">
        <f>Payroll_Data_Analysis[[#This Row],[Annual Salary + KPI Bonus]]/12/29.3*31</f>
        <v>65708.361774744029</v>
      </c>
      <c r="Q340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40" s="7">
        <f>Payroll_Data_Analysis[[#This Row],[Monthly Salary]]*11</f>
        <v>635800</v>
      </c>
      <c r="S340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40" s="7">
        <f>IF(Payroll_Data_Analysis[[#This Row],[Base Salary (Monthly)]]&gt;=200000,69507,IF(Payroll_Data_Analysis[[#This Row],[Base Salary (Monthly)]]&gt;=145000,52684,35103))</f>
        <v>35103</v>
      </c>
      <c r="U340" s="7">
        <f>Payroll_Data_Analysis[[#This Row],[Annual KPI Bonus Reserve]]+Payroll_Data_Analysis[[#This Row],[Vacation Reserve]]+Payroll_Data_Analysis[[#This Row],[11-Month Salary]]</f>
        <v>753168.361774744</v>
      </c>
      <c r="V340" s="7">
        <f>Payroll_Data_Analysis[[#This Row],[Payroll Taxes (KPI Bonus)]]+Payroll_Data_Analysis[[#This Row],[Payroll Taxes (Vacation)]]+Payroll_Data_Analysis[[#This Row],[Payroll Taxes (Salary)]]</f>
        <v>227456.8452559727</v>
      </c>
      <c r="W340" s="13">
        <f>Payroll_Data_Analysis[[#This Row],[Total Payroll]]+Payroll_Data_Analysis[[#This Row],[Total Payroll Taxes]]</f>
        <v>980625.2070307167</v>
      </c>
    </row>
    <row r="341" spans="1:23">
      <c r="A341" s="11" t="s">
        <v>664</v>
      </c>
      <c r="B341" s="5" t="s">
        <v>344</v>
      </c>
      <c r="C341" s="5" t="s">
        <v>733</v>
      </c>
      <c r="D341" s="28" t="str">
        <f>VLOOKUP(Payroll_Data_Analysis[[#This Row],[Position]],Position_Map!$A$2:$B$58,2,FALSE)</f>
        <v>Facilities</v>
      </c>
      <c r="E341" s="6">
        <v>1</v>
      </c>
      <c r="F341" s="7">
        <v>54800</v>
      </c>
      <c r="G341" s="7">
        <v>35000</v>
      </c>
      <c r="H341" s="7"/>
      <c r="I341" s="7">
        <f>dataset!$F341-dataset!$J341-dataset!$G341-dataset!$H341</f>
        <v>17000</v>
      </c>
      <c r="J341" s="7">
        <f>dataset!$G341*0.08</f>
        <v>2800</v>
      </c>
      <c r="K341" s="7">
        <f>dataset!$F341*12</f>
        <v>657600</v>
      </c>
      <c r="L341" s="12">
        <f>IF(dataset!$G341&gt;=200000,38%,IF(dataset!$G341&lt;=145000,12.3%,))</f>
        <v>0.12300000000000001</v>
      </c>
      <c r="M341" s="7">
        <f>dataset!$G341*L342*12</f>
        <v>51660</v>
      </c>
      <c r="N34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1" s="7">
        <f>dataset!$K341+dataset!$M341</f>
        <v>709260</v>
      </c>
      <c r="P341" s="7">
        <f>Payroll_Data_Analysis[[#This Row],[Annual Salary + KPI Bonus]]/12/29.3*31</f>
        <v>62534.300341296926</v>
      </c>
      <c r="Q341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41" s="7">
        <f>Payroll_Data_Analysis[[#This Row],[Monthly Salary]]*11</f>
        <v>602800</v>
      </c>
      <c r="S341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41" s="7">
        <f>IF(Payroll_Data_Analysis[[#This Row],[Base Salary (Monthly)]]&gt;=200000,69507,IF(Payroll_Data_Analysis[[#This Row],[Base Salary (Monthly)]]&gt;=145000,52684,35103))</f>
        <v>35103</v>
      </c>
      <c r="U341" s="7">
        <f>Payroll_Data_Analysis[[#This Row],[Annual KPI Bonus Reserve]]+Payroll_Data_Analysis[[#This Row],[Vacation Reserve]]+Payroll_Data_Analysis[[#This Row],[11-Month Salary]]</f>
        <v>716994.30034129694</v>
      </c>
      <c r="V341" s="7">
        <f>Payroll_Data_Analysis[[#This Row],[Payroll Taxes (KPI Bonus)]]+Payroll_Data_Analysis[[#This Row],[Payroll Taxes (Vacation)]]+Payroll_Data_Analysis[[#This Row],[Payroll Taxes (Salary)]]</f>
        <v>216532.27870307167</v>
      </c>
      <c r="W341" s="13">
        <f>Payroll_Data_Analysis[[#This Row],[Total Payroll]]+Payroll_Data_Analysis[[#This Row],[Total Payroll Taxes]]</f>
        <v>933526.57904436858</v>
      </c>
    </row>
    <row r="342" spans="1:23">
      <c r="A342" s="11" t="s">
        <v>664</v>
      </c>
      <c r="B342" s="5" t="s">
        <v>345</v>
      </c>
      <c r="C342" s="5" t="s">
        <v>733</v>
      </c>
      <c r="D342" s="28" t="str">
        <f>VLOOKUP(Payroll_Data_Analysis[[#This Row],[Position]],Position_Map!$A$2:$B$58,2,FALSE)</f>
        <v>Facilities</v>
      </c>
      <c r="E342" s="6">
        <v>1</v>
      </c>
      <c r="F342" s="7">
        <v>81000</v>
      </c>
      <c r="G342" s="7">
        <v>50000</v>
      </c>
      <c r="H342" s="7"/>
      <c r="I342" s="7">
        <f>dataset!$F342-dataset!$J342-dataset!$G342-dataset!$H342</f>
        <v>27000</v>
      </c>
      <c r="J342" s="7">
        <f>dataset!$G342*0.08</f>
        <v>4000</v>
      </c>
      <c r="K342" s="7">
        <f>dataset!$F342*12</f>
        <v>972000</v>
      </c>
      <c r="L342" s="12">
        <f>IF(dataset!$G342&gt;=200000,38%,IF(dataset!$G342&lt;=145000,12.3%,))</f>
        <v>0.12300000000000001</v>
      </c>
      <c r="M342" s="7">
        <f>dataset!$G342*L343*12</f>
        <v>73800.000000000015</v>
      </c>
      <c r="N342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342" s="7">
        <f>dataset!$K342+dataset!$M342</f>
        <v>1045800</v>
      </c>
      <c r="P342" s="7">
        <f>Payroll_Data_Analysis[[#This Row],[Annual Salary + KPI Bonus]]/12/29.3*31</f>
        <v>92206.484641638221</v>
      </c>
      <c r="Q342" s="7">
        <f>IF(Payroll_Data_Analysis[[#This Row],[Vacation Reserve]]&lt;=2979000,Payroll_Data_Analysis[[#This Row],[Vacation Reserve]]*0.302,2979000*0.302+(Payroll_Data_Analysis[[#This Row],[Vacation Reserve]]-2979000)*0.151)</f>
        <v>27846.358361774743</v>
      </c>
      <c r="R342" s="7">
        <f>Payroll_Data_Analysis[[#This Row],[Monthly Salary]]*11</f>
        <v>891000</v>
      </c>
      <c r="S342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342" s="7">
        <f>IF(Payroll_Data_Analysis[[#This Row],[Base Salary (Monthly)]]&gt;=200000,69507,IF(Payroll_Data_Analysis[[#This Row],[Base Salary (Monthly)]]&gt;=145000,52684,35103))</f>
        <v>35103</v>
      </c>
      <c r="U342" s="7">
        <f>Payroll_Data_Analysis[[#This Row],[Annual KPI Bonus Reserve]]+Payroll_Data_Analysis[[#This Row],[Vacation Reserve]]+Payroll_Data_Analysis[[#This Row],[11-Month Salary]]</f>
        <v>1057006.4846416381</v>
      </c>
      <c r="V342" s="7">
        <f>Payroll_Data_Analysis[[#This Row],[Payroll Taxes (KPI Bonus)]]+Payroll_Data_Analysis[[#This Row],[Payroll Taxes (Vacation)]]+Payroll_Data_Analysis[[#This Row],[Payroll Taxes (Salary)]]</f>
        <v>319215.95836177474</v>
      </c>
      <c r="W342" s="13">
        <f>Payroll_Data_Analysis[[#This Row],[Total Payroll]]+Payroll_Data_Analysis[[#This Row],[Total Payroll Taxes]]</f>
        <v>1376222.4430034128</v>
      </c>
    </row>
    <row r="343" spans="1:23">
      <c r="A343" s="11" t="s">
        <v>664</v>
      </c>
      <c r="B343" s="5" t="s">
        <v>346</v>
      </c>
      <c r="C343" s="5" t="s">
        <v>733</v>
      </c>
      <c r="D343" s="28" t="str">
        <f>VLOOKUP(Payroll_Data_Analysis[[#This Row],[Position]],Position_Map!$A$2:$B$58,2,FALSE)</f>
        <v>Facilities</v>
      </c>
      <c r="E343" s="6">
        <v>1</v>
      </c>
      <c r="F343" s="7">
        <v>54800</v>
      </c>
      <c r="G343" s="7">
        <v>35000</v>
      </c>
      <c r="H343" s="7"/>
      <c r="I343" s="7">
        <f>dataset!$F343-dataset!$J343-dataset!$G343-dataset!$H343</f>
        <v>17000</v>
      </c>
      <c r="J343" s="7">
        <f>dataset!$G343*0.08</f>
        <v>2800</v>
      </c>
      <c r="K343" s="7">
        <f>dataset!$F343*12</f>
        <v>657600</v>
      </c>
      <c r="L343" s="12">
        <f>IF(dataset!$G343&gt;=200000,38%,IF(dataset!$G343&lt;=145000,12.3%,))</f>
        <v>0.12300000000000001</v>
      </c>
      <c r="M343" s="7">
        <f>dataset!$G343*L344*12</f>
        <v>51660</v>
      </c>
      <c r="N34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3" s="7">
        <f>dataset!$K343+dataset!$M343</f>
        <v>709260</v>
      </c>
      <c r="P343" s="7">
        <f>Payroll_Data_Analysis[[#This Row],[Annual Salary + KPI Bonus]]/12/29.3*31</f>
        <v>62534.300341296926</v>
      </c>
      <c r="Q343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43" s="7">
        <f>Payroll_Data_Analysis[[#This Row],[Monthly Salary]]*11</f>
        <v>602800</v>
      </c>
      <c r="S343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43" s="7">
        <f>IF(Payroll_Data_Analysis[[#This Row],[Base Salary (Monthly)]]&gt;=200000,69507,IF(Payroll_Data_Analysis[[#This Row],[Base Salary (Monthly)]]&gt;=145000,52684,35103))</f>
        <v>35103</v>
      </c>
      <c r="U343" s="7">
        <f>Payroll_Data_Analysis[[#This Row],[Annual KPI Bonus Reserve]]+Payroll_Data_Analysis[[#This Row],[Vacation Reserve]]+Payroll_Data_Analysis[[#This Row],[11-Month Salary]]</f>
        <v>716994.30034129694</v>
      </c>
      <c r="V343" s="7">
        <f>Payroll_Data_Analysis[[#This Row],[Payroll Taxes (KPI Bonus)]]+Payroll_Data_Analysis[[#This Row],[Payroll Taxes (Vacation)]]+Payroll_Data_Analysis[[#This Row],[Payroll Taxes (Salary)]]</f>
        <v>216532.27870307167</v>
      </c>
      <c r="W343" s="13">
        <f>Payroll_Data_Analysis[[#This Row],[Total Payroll]]+Payroll_Data_Analysis[[#This Row],[Total Payroll Taxes]]</f>
        <v>933526.57904436858</v>
      </c>
    </row>
    <row r="344" spans="1:23">
      <c r="A344" s="11" t="s">
        <v>664</v>
      </c>
      <c r="B344" s="5" t="s">
        <v>347</v>
      </c>
      <c r="C344" s="5" t="s">
        <v>733</v>
      </c>
      <c r="D344" s="28" t="str">
        <f>VLOOKUP(Payroll_Data_Analysis[[#This Row],[Position]],Position_Map!$A$2:$B$58,2,FALSE)</f>
        <v>Facilities</v>
      </c>
      <c r="E344" s="6">
        <v>1</v>
      </c>
      <c r="F344" s="7">
        <v>57800</v>
      </c>
      <c r="G344" s="7">
        <v>35000</v>
      </c>
      <c r="H344" s="7"/>
      <c r="I344" s="7">
        <f>dataset!$F344-dataset!$J344-dataset!$G344-dataset!$H344</f>
        <v>20000</v>
      </c>
      <c r="J344" s="7">
        <f>dataset!$G344*0.08</f>
        <v>2800</v>
      </c>
      <c r="K344" s="7">
        <f>dataset!$F344*12</f>
        <v>693600</v>
      </c>
      <c r="L344" s="12">
        <f>IF(dataset!$G344&gt;=200000,38%,IF(dataset!$G344&lt;=145000,12.3%,))</f>
        <v>0.12300000000000001</v>
      </c>
      <c r="M344" s="7">
        <f>dataset!$G344*L345*12</f>
        <v>51660</v>
      </c>
      <c r="N34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4" s="7">
        <f>dataset!$K344+dataset!$M344</f>
        <v>745260</v>
      </c>
      <c r="P344" s="7">
        <f>Payroll_Data_Analysis[[#This Row],[Annual Salary + KPI Bonus]]/12/29.3*31</f>
        <v>65708.361774744029</v>
      </c>
      <c r="Q344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44" s="7">
        <f>Payroll_Data_Analysis[[#This Row],[Monthly Salary]]*11</f>
        <v>635800</v>
      </c>
      <c r="S344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44" s="7">
        <f>IF(Payroll_Data_Analysis[[#This Row],[Base Salary (Monthly)]]&gt;=200000,69507,IF(Payroll_Data_Analysis[[#This Row],[Base Salary (Monthly)]]&gt;=145000,52684,35103))</f>
        <v>35103</v>
      </c>
      <c r="U344" s="7">
        <f>Payroll_Data_Analysis[[#This Row],[Annual KPI Bonus Reserve]]+Payroll_Data_Analysis[[#This Row],[Vacation Reserve]]+Payroll_Data_Analysis[[#This Row],[11-Month Salary]]</f>
        <v>753168.361774744</v>
      </c>
      <c r="V344" s="7">
        <f>Payroll_Data_Analysis[[#This Row],[Payroll Taxes (KPI Bonus)]]+Payroll_Data_Analysis[[#This Row],[Payroll Taxes (Vacation)]]+Payroll_Data_Analysis[[#This Row],[Payroll Taxes (Salary)]]</f>
        <v>227456.8452559727</v>
      </c>
      <c r="W344" s="13">
        <f>Payroll_Data_Analysis[[#This Row],[Total Payroll]]+Payroll_Data_Analysis[[#This Row],[Total Payroll Taxes]]</f>
        <v>980625.2070307167</v>
      </c>
    </row>
    <row r="345" spans="1:23">
      <c r="A345" s="11" t="s">
        <v>664</v>
      </c>
      <c r="B345" s="5" t="s">
        <v>348</v>
      </c>
      <c r="C345" s="5" t="s">
        <v>733</v>
      </c>
      <c r="D345" s="28" t="str">
        <f>VLOOKUP(Payroll_Data_Analysis[[#This Row],[Position]],Position_Map!$A$2:$B$58,2,FALSE)</f>
        <v>Facilities</v>
      </c>
      <c r="E345" s="6">
        <v>1</v>
      </c>
      <c r="F345" s="7">
        <v>81000</v>
      </c>
      <c r="G345" s="7">
        <v>50000</v>
      </c>
      <c r="H345" s="7"/>
      <c r="I345" s="7">
        <f>dataset!$F345-dataset!$J345-dataset!$G345-dataset!$H345</f>
        <v>27000</v>
      </c>
      <c r="J345" s="7">
        <f>dataset!$G345*0.08</f>
        <v>4000</v>
      </c>
      <c r="K345" s="7">
        <f>dataset!$F345*12</f>
        <v>972000</v>
      </c>
      <c r="L345" s="12">
        <f>IF(dataset!$G345&gt;=200000,38%,IF(dataset!$G345&lt;=145000,12.3%,))</f>
        <v>0.12300000000000001</v>
      </c>
      <c r="M345" s="7">
        <f>dataset!$G345*L346*12</f>
        <v>73800.000000000015</v>
      </c>
      <c r="N345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345" s="7">
        <f>dataset!$K345+dataset!$M345</f>
        <v>1045800</v>
      </c>
      <c r="P345" s="7">
        <f>Payroll_Data_Analysis[[#This Row],[Annual Salary + KPI Bonus]]/12/29.3*31</f>
        <v>92206.484641638221</v>
      </c>
      <c r="Q345" s="7">
        <f>IF(Payroll_Data_Analysis[[#This Row],[Vacation Reserve]]&lt;=2979000,Payroll_Data_Analysis[[#This Row],[Vacation Reserve]]*0.302,2979000*0.302+(Payroll_Data_Analysis[[#This Row],[Vacation Reserve]]-2979000)*0.151)</f>
        <v>27846.358361774743</v>
      </c>
      <c r="R345" s="7">
        <f>Payroll_Data_Analysis[[#This Row],[Monthly Salary]]*11</f>
        <v>891000</v>
      </c>
      <c r="S345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345" s="7">
        <f>IF(Payroll_Data_Analysis[[#This Row],[Base Salary (Monthly)]]&gt;=200000,69507,IF(Payroll_Data_Analysis[[#This Row],[Base Salary (Monthly)]]&gt;=145000,52684,35103))</f>
        <v>35103</v>
      </c>
      <c r="U345" s="7">
        <f>Payroll_Data_Analysis[[#This Row],[Annual KPI Bonus Reserve]]+Payroll_Data_Analysis[[#This Row],[Vacation Reserve]]+Payroll_Data_Analysis[[#This Row],[11-Month Salary]]</f>
        <v>1057006.4846416381</v>
      </c>
      <c r="V345" s="7">
        <f>Payroll_Data_Analysis[[#This Row],[Payroll Taxes (KPI Bonus)]]+Payroll_Data_Analysis[[#This Row],[Payroll Taxes (Vacation)]]+Payroll_Data_Analysis[[#This Row],[Payroll Taxes (Salary)]]</f>
        <v>319215.95836177474</v>
      </c>
      <c r="W345" s="13">
        <f>Payroll_Data_Analysis[[#This Row],[Total Payroll]]+Payroll_Data_Analysis[[#This Row],[Total Payroll Taxes]]</f>
        <v>1376222.4430034128</v>
      </c>
    </row>
    <row r="346" spans="1:23">
      <c r="A346" s="11" t="s">
        <v>664</v>
      </c>
      <c r="B346" s="5" t="s">
        <v>349</v>
      </c>
      <c r="C346" s="5" t="s">
        <v>733</v>
      </c>
      <c r="D346" s="28" t="str">
        <f>VLOOKUP(Payroll_Data_Analysis[[#This Row],[Position]],Position_Map!$A$2:$B$58,2,FALSE)</f>
        <v>Facilities</v>
      </c>
      <c r="E346" s="6">
        <v>1</v>
      </c>
      <c r="F346" s="7">
        <v>52400</v>
      </c>
      <c r="G346" s="7">
        <v>35000</v>
      </c>
      <c r="H346" s="7"/>
      <c r="I346" s="7">
        <f>dataset!$F346-dataset!$J346-dataset!$G346-dataset!$H346</f>
        <v>14600</v>
      </c>
      <c r="J346" s="7">
        <f>dataset!$G346*0.08</f>
        <v>2800</v>
      </c>
      <c r="K346" s="7">
        <f>dataset!$F346*12</f>
        <v>628800</v>
      </c>
      <c r="L346" s="12">
        <f>IF(dataset!$G346&gt;=200000,38%,IF(dataset!$G346&lt;=145000,12.3%,))</f>
        <v>0.12300000000000001</v>
      </c>
      <c r="M346" s="7">
        <f>dataset!$G346*L347*12</f>
        <v>51660</v>
      </c>
      <c r="N34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6" s="7">
        <f>dataset!$K346+dataset!$M346</f>
        <v>680460</v>
      </c>
      <c r="P346" s="7">
        <f>Payroll_Data_Analysis[[#This Row],[Annual Salary + KPI Bonus]]/12/29.3*31</f>
        <v>59995.05119453925</v>
      </c>
      <c r="Q346" s="7">
        <f>IF(Payroll_Data_Analysis[[#This Row],[Vacation Reserve]]&lt;=2979000,Payroll_Data_Analysis[[#This Row],[Vacation Reserve]]*0.302,2979000*0.302+(Payroll_Data_Analysis[[#This Row],[Vacation Reserve]]-2979000)*0.151)</f>
        <v>18118.505460750854</v>
      </c>
      <c r="R346" s="7">
        <f>Payroll_Data_Analysis[[#This Row],[Monthly Salary]]*11</f>
        <v>576400</v>
      </c>
      <c r="S346" s="7">
        <f>IF(Payroll_Data_Analysis[[#This Row],[11-Month Salary]]&lt;=2979000,Payroll_Data_Analysis[[#This Row],[11-Month Salary]]*0.302,2979000*0.302+(Payroll_Data_Analysis[[#This Row],[11-Month Salary]]-2979000)*0.151)</f>
        <v>174072.8</v>
      </c>
      <c r="T346" s="7">
        <f>IF(Payroll_Data_Analysis[[#This Row],[Base Salary (Monthly)]]&gt;=200000,69507,IF(Payroll_Data_Analysis[[#This Row],[Base Salary (Monthly)]]&gt;=145000,52684,35103))</f>
        <v>35103</v>
      </c>
      <c r="U346" s="7">
        <f>Payroll_Data_Analysis[[#This Row],[Annual KPI Bonus Reserve]]+Payroll_Data_Analysis[[#This Row],[Vacation Reserve]]+Payroll_Data_Analysis[[#This Row],[11-Month Salary]]</f>
        <v>688055.05119453929</v>
      </c>
      <c r="V346" s="7">
        <f>Payroll_Data_Analysis[[#This Row],[Payroll Taxes (KPI Bonus)]]+Payroll_Data_Analysis[[#This Row],[Payroll Taxes (Vacation)]]+Payroll_Data_Analysis[[#This Row],[Payroll Taxes (Salary)]]</f>
        <v>207792.62546075083</v>
      </c>
      <c r="W346" s="13">
        <f>Payroll_Data_Analysis[[#This Row],[Total Payroll]]+Payroll_Data_Analysis[[#This Row],[Total Payroll Taxes]]</f>
        <v>895847.67665529018</v>
      </c>
    </row>
    <row r="347" spans="1:23">
      <c r="A347" s="11" t="s">
        <v>664</v>
      </c>
      <c r="B347" s="5" t="s">
        <v>350</v>
      </c>
      <c r="C347" s="5" t="s">
        <v>733</v>
      </c>
      <c r="D347" s="28" t="str">
        <f>VLOOKUP(Payroll_Data_Analysis[[#This Row],[Position]],Position_Map!$A$2:$B$58,2,FALSE)</f>
        <v>Facilities</v>
      </c>
      <c r="E347" s="6">
        <v>1</v>
      </c>
      <c r="F347" s="7">
        <v>48400</v>
      </c>
      <c r="G347" s="7">
        <v>35000</v>
      </c>
      <c r="H347" s="7"/>
      <c r="I347" s="7">
        <f>dataset!$F347-dataset!$J347-dataset!$G347-dataset!$H347</f>
        <v>10600</v>
      </c>
      <c r="J347" s="7">
        <f>dataset!$G347*0.08</f>
        <v>2800</v>
      </c>
      <c r="K347" s="7">
        <f>dataset!$F347*12</f>
        <v>580800</v>
      </c>
      <c r="L347" s="12">
        <f>IF(dataset!$G347&gt;=200000,38%,IF(dataset!$G347&lt;=145000,12.3%,))</f>
        <v>0.12300000000000001</v>
      </c>
      <c r="M347" s="7">
        <f>dataset!$G347*L348*12</f>
        <v>51660</v>
      </c>
      <c r="N34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7" s="7">
        <f>dataset!$K347+dataset!$M347</f>
        <v>632460</v>
      </c>
      <c r="P347" s="7">
        <f>Payroll_Data_Analysis[[#This Row],[Annual Salary + KPI Bonus]]/12/29.3*31</f>
        <v>55762.969283276449</v>
      </c>
      <c r="Q347" s="7">
        <f>IF(Payroll_Data_Analysis[[#This Row],[Vacation Reserve]]&lt;=2979000,Payroll_Data_Analysis[[#This Row],[Vacation Reserve]]*0.302,2979000*0.302+(Payroll_Data_Analysis[[#This Row],[Vacation Reserve]]-2979000)*0.151)</f>
        <v>16840.416723549486</v>
      </c>
      <c r="R347" s="7">
        <f>Payroll_Data_Analysis[[#This Row],[Monthly Salary]]*11</f>
        <v>532400</v>
      </c>
      <c r="S347" s="7">
        <f>IF(Payroll_Data_Analysis[[#This Row],[11-Month Salary]]&lt;=2979000,Payroll_Data_Analysis[[#This Row],[11-Month Salary]]*0.302,2979000*0.302+(Payroll_Data_Analysis[[#This Row],[11-Month Salary]]-2979000)*0.151)</f>
        <v>160784.79999999999</v>
      </c>
      <c r="T347" s="7">
        <f>IF(Payroll_Data_Analysis[[#This Row],[Base Salary (Monthly)]]&gt;=200000,69507,IF(Payroll_Data_Analysis[[#This Row],[Base Salary (Monthly)]]&gt;=145000,52684,35103))</f>
        <v>35103</v>
      </c>
      <c r="U347" s="7">
        <f>Payroll_Data_Analysis[[#This Row],[Annual KPI Bonus Reserve]]+Payroll_Data_Analysis[[#This Row],[Vacation Reserve]]+Payroll_Data_Analysis[[#This Row],[11-Month Salary]]</f>
        <v>639822.96928327647</v>
      </c>
      <c r="V347" s="7">
        <f>Payroll_Data_Analysis[[#This Row],[Payroll Taxes (KPI Bonus)]]+Payroll_Data_Analysis[[#This Row],[Payroll Taxes (Vacation)]]+Payroll_Data_Analysis[[#This Row],[Payroll Taxes (Salary)]]</f>
        <v>193226.53672354948</v>
      </c>
      <c r="W347" s="13">
        <f>Payroll_Data_Analysis[[#This Row],[Total Payroll]]+Payroll_Data_Analysis[[#This Row],[Total Payroll Taxes]]</f>
        <v>833049.50600682595</v>
      </c>
    </row>
    <row r="348" spans="1:23">
      <c r="A348" s="11" t="s">
        <v>664</v>
      </c>
      <c r="B348" s="5" t="s">
        <v>351</v>
      </c>
      <c r="C348" s="5" t="s">
        <v>733</v>
      </c>
      <c r="D348" s="28" t="str">
        <f>VLOOKUP(Payroll_Data_Analysis[[#This Row],[Position]],Position_Map!$A$2:$B$58,2,FALSE)</f>
        <v>Facilities</v>
      </c>
      <c r="E348" s="6">
        <v>1</v>
      </c>
      <c r="F348" s="7">
        <v>54800</v>
      </c>
      <c r="G348" s="7">
        <v>35000</v>
      </c>
      <c r="H348" s="7"/>
      <c r="I348" s="7">
        <f>dataset!$F348-dataset!$J348-dataset!$G348-dataset!$H348</f>
        <v>17000</v>
      </c>
      <c r="J348" s="7">
        <f>dataset!$G348*0.08</f>
        <v>2800</v>
      </c>
      <c r="K348" s="7">
        <f>dataset!$F348*12</f>
        <v>657600</v>
      </c>
      <c r="L348" s="12">
        <f>IF(dataset!$G348&gt;=200000,38%,IF(dataset!$G348&lt;=145000,12.3%,))</f>
        <v>0.12300000000000001</v>
      </c>
      <c r="M348" s="7">
        <f>dataset!$G348*L349*12</f>
        <v>51660</v>
      </c>
      <c r="N34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8" s="7">
        <f>dataset!$K348+dataset!$M348</f>
        <v>709260</v>
      </c>
      <c r="P348" s="7">
        <f>Payroll_Data_Analysis[[#This Row],[Annual Salary + KPI Bonus]]/12/29.3*31</f>
        <v>62534.300341296926</v>
      </c>
      <c r="Q348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48" s="7">
        <f>Payroll_Data_Analysis[[#This Row],[Monthly Salary]]*11</f>
        <v>602800</v>
      </c>
      <c r="S348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48" s="7">
        <f>IF(Payroll_Data_Analysis[[#This Row],[Base Salary (Monthly)]]&gt;=200000,69507,IF(Payroll_Data_Analysis[[#This Row],[Base Salary (Monthly)]]&gt;=145000,52684,35103))</f>
        <v>35103</v>
      </c>
      <c r="U348" s="7">
        <f>Payroll_Data_Analysis[[#This Row],[Annual KPI Bonus Reserve]]+Payroll_Data_Analysis[[#This Row],[Vacation Reserve]]+Payroll_Data_Analysis[[#This Row],[11-Month Salary]]</f>
        <v>716994.30034129694</v>
      </c>
      <c r="V348" s="7">
        <f>Payroll_Data_Analysis[[#This Row],[Payroll Taxes (KPI Bonus)]]+Payroll_Data_Analysis[[#This Row],[Payroll Taxes (Vacation)]]+Payroll_Data_Analysis[[#This Row],[Payroll Taxes (Salary)]]</f>
        <v>216532.27870307167</v>
      </c>
      <c r="W348" s="13">
        <f>Payroll_Data_Analysis[[#This Row],[Total Payroll]]+Payroll_Data_Analysis[[#This Row],[Total Payroll Taxes]]</f>
        <v>933526.57904436858</v>
      </c>
    </row>
    <row r="349" spans="1:23">
      <c r="A349" s="11" t="s">
        <v>664</v>
      </c>
      <c r="B349" s="5" t="s">
        <v>352</v>
      </c>
      <c r="C349" s="5" t="s">
        <v>733</v>
      </c>
      <c r="D349" s="28" t="str">
        <f>VLOOKUP(Payroll_Data_Analysis[[#This Row],[Position]],Position_Map!$A$2:$B$58,2,FALSE)</f>
        <v>Facilities</v>
      </c>
      <c r="E349" s="6">
        <v>1</v>
      </c>
      <c r="F349" s="7">
        <v>50200</v>
      </c>
      <c r="G349" s="7">
        <v>35000</v>
      </c>
      <c r="H349" s="7"/>
      <c r="I349" s="7">
        <f>dataset!$F349-dataset!$J349-dataset!$G349-dataset!$H349</f>
        <v>12400</v>
      </c>
      <c r="J349" s="7">
        <f>dataset!$G349*0.08</f>
        <v>2800</v>
      </c>
      <c r="K349" s="7">
        <f>dataset!$F349*12</f>
        <v>602400</v>
      </c>
      <c r="L349" s="12">
        <f>IF(dataset!$G349&gt;=200000,38%,IF(dataset!$G349&lt;=145000,12.3%,))</f>
        <v>0.12300000000000001</v>
      </c>
      <c r="M349" s="7">
        <f>dataset!$G349*L350*12</f>
        <v>51660</v>
      </c>
      <c r="N34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49" s="7">
        <f>dataset!$K349+dataset!$M349</f>
        <v>654060</v>
      </c>
      <c r="P349" s="7">
        <f>Payroll_Data_Analysis[[#This Row],[Annual Salary + KPI Bonus]]/12/29.3*31</f>
        <v>57667.406143344706</v>
      </c>
      <c r="Q349" s="7">
        <f>IF(Payroll_Data_Analysis[[#This Row],[Vacation Reserve]]&lt;=2979000,Payroll_Data_Analysis[[#This Row],[Vacation Reserve]]*0.302,2979000*0.302+(Payroll_Data_Analysis[[#This Row],[Vacation Reserve]]-2979000)*0.151)</f>
        <v>17415.5566552901</v>
      </c>
      <c r="R349" s="7">
        <f>Payroll_Data_Analysis[[#This Row],[Monthly Salary]]*11</f>
        <v>552200</v>
      </c>
      <c r="S349" s="7">
        <f>IF(Payroll_Data_Analysis[[#This Row],[11-Month Salary]]&lt;=2979000,Payroll_Data_Analysis[[#This Row],[11-Month Salary]]*0.302,2979000*0.302+(Payroll_Data_Analysis[[#This Row],[11-Month Salary]]-2979000)*0.151)</f>
        <v>166764.4</v>
      </c>
      <c r="T349" s="7">
        <f>IF(Payroll_Data_Analysis[[#This Row],[Base Salary (Monthly)]]&gt;=200000,69507,IF(Payroll_Data_Analysis[[#This Row],[Base Salary (Monthly)]]&gt;=145000,52684,35103))</f>
        <v>35103</v>
      </c>
      <c r="U349" s="7">
        <f>Payroll_Data_Analysis[[#This Row],[Annual KPI Bonus Reserve]]+Payroll_Data_Analysis[[#This Row],[Vacation Reserve]]+Payroll_Data_Analysis[[#This Row],[11-Month Salary]]</f>
        <v>661527.40614334471</v>
      </c>
      <c r="V349" s="7">
        <f>Payroll_Data_Analysis[[#This Row],[Payroll Taxes (KPI Bonus)]]+Payroll_Data_Analysis[[#This Row],[Payroll Taxes (Vacation)]]+Payroll_Data_Analysis[[#This Row],[Payroll Taxes (Salary)]]</f>
        <v>199781.2766552901</v>
      </c>
      <c r="W349" s="13">
        <f>Payroll_Data_Analysis[[#This Row],[Total Payroll]]+Payroll_Data_Analysis[[#This Row],[Total Payroll Taxes]]</f>
        <v>861308.68279863475</v>
      </c>
    </row>
    <row r="350" spans="1:23">
      <c r="A350" s="11" t="s">
        <v>664</v>
      </c>
      <c r="B350" s="5" t="s">
        <v>353</v>
      </c>
      <c r="C350" s="5" t="s">
        <v>733</v>
      </c>
      <c r="D350" s="28" t="str">
        <f>VLOOKUP(Payroll_Data_Analysis[[#This Row],[Position]],Position_Map!$A$2:$B$58,2,FALSE)</f>
        <v>Facilities</v>
      </c>
      <c r="E350" s="6">
        <v>1</v>
      </c>
      <c r="F350" s="7">
        <v>46000</v>
      </c>
      <c r="G350" s="7">
        <v>35000</v>
      </c>
      <c r="H350" s="7"/>
      <c r="I350" s="7">
        <f>dataset!$F350-dataset!$J350-dataset!$G350-dataset!$H350</f>
        <v>8200</v>
      </c>
      <c r="J350" s="7">
        <f>dataset!$G350*0.08</f>
        <v>2800</v>
      </c>
      <c r="K350" s="7">
        <f>dataset!$F350*12</f>
        <v>552000</v>
      </c>
      <c r="L350" s="12">
        <f>IF(dataset!$G350&gt;=200000,38%,IF(dataset!$G350&lt;=145000,12.3%,))</f>
        <v>0.12300000000000001</v>
      </c>
      <c r="M350" s="7">
        <f>dataset!$G350*L351*12</f>
        <v>51660</v>
      </c>
      <c r="N35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0" s="7">
        <f>dataset!$K350+dataset!$M350</f>
        <v>603660</v>
      </c>
      <c r="P350" s="7">
        <f>Payroll_Data_Analysis[[#This Row],[Annual Salary + KPI Bonus]]/12/29.3*31</f>
        <v>53223.720136518765</v>
      </c>
      <c r="Q35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50" s="7">
        <f>Payroll_Data_Analysis[[#This Row],[Monthly Salary]]*11</f>
        <v>506000</v>
      </c>
      <c r="S35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50" s="7">
        <f>IF(Payroll_Data_Analysis[[#This Row],[Base Salary (Monthly)]]&gt;=200000,69507,IF(Payroll_Data_Analysis[[#This Row],[Base Salary (Monthly)]]&gt;=145000,52684,35103))</f>
        <v>35103</v>
      </c>
      <c r="U350" s="7">
        <f>Payroll_Data_Analysis[[#This Row],[Annual KPI Bonus Reserve]]+Payroll_Data_Analysis[[#This Row],[Vacation Reserve]]+Payroll_Data_Analysis[[#This Row],[11-Month Salary]]</f>
        <v>610883.72013651882</v>
      </c>
      <c r="V350" s="7">
        <f>Payroll_Data_Analysis[[#This Row],[Payroll Taxes (KPI Bonus)]]+Payroll_Data_Analysis[[#This Row],[Payroll Taxes (Vacation)]]+Payroll_Data_Analysis[[#This Row],[Payroll Taxes (Salary)]]</f>
        <v>184486.88348122867</v>
      </c>
      <c r="W350" s="13">
        <f>Payroll_Data_Analysis[[#This Row],[Total Payroll]]+Payroll_Data_Analysis[[#This Row],[Total Payroll Taxes]]</f>
        <v>795370.60361774755</v>
      </c>
    </row>
    <row r="351" spans="1:23">
      <c r="A351" s="11" t="s">
        <v>664</v>
      </c>
      <c r="B351" s="5" t="s">
        <v>354</v>
      </c>
      <c r="C351" s="5" t="s">
        <v>733</v>
      </c>
      <c r="D351" s="28" t="str">
        <f>VLOOKUP(Payroll_Data_Analysis[[#This Row],[Position]],Position_Map!$A$2:$B$58,2,FALSE)</f>
        <v>Facilities</v>
      </c>
      <c r="E351" s="6">
        <v>1</v>
      </c>
      <c r="F351" s="7">
        <v>54800</v>
      </c>
      <c r="G351" s="7">
        <v>35000</v>
      </c>
      <c r="H351" s="7"/>
      <c r="I351" s="7">
        <f>dataset!$F351-dataset!$J351-dataset!$G351-dataset!$H351</f>
        <v>17000</v>
      </c>
      <c r="J351" s="7">
        <f>dataset!$G351*0.08</f>
        <v>2800</v>
      </c>
      <c r="K351" s="7">
        <f>dataset!$F351*12</f>
        <v>657600</v>
      </c>
      <c r="L351" s="12">
        <f>IF(dataset!$G351&gt;=200000,38%,IF(dataset!$G351&lt;=145000,12.3%,))</f>
        <v>0.12300000000000001</v>
      </c>
      <c r="M351" s="7">
        <f>dataset!$G351*L352*12</f>
        <v>51660</v>
      </c>
      <c r="N35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1" s="7">
        <f>dataset!$K351+dataset!$M351</f>
        <v>709260</v>
      </c>
      <c r="P351" s="7">
        <f>Payroll_Data_Analysis[[#This Row],[Annual Salary + KPI Bonus]]/12/29.3*31</f>
        <v>62534.300341296926</v>
      </c>
      <c r="Q351" s="7">
        <f>IF(Payroll_Data_Analysis[[#This Row],[Vacation Reserve]]&lt;=2979000,Payroll_Data_Analysis[[#This Row],[Vacation Reserve]]*0.302,2979000*0.302+(Payroll_Data_Analysis[[#This Row],[Vacation Reserve]]-2979000)*0.151)</f>
        <v>18885.35870307167</v>
      </c>
      <c r="R351" s="7">
        <f>Payroll_Data_Analysis[[#This Row],[Monthly Salary]]*11</f>
        <v>602800</v>
      </c>
      <c r="S351" s="7">
        <f>IF(Payroll_Data_Analysis[[#This Row],[11-Month Salary]]&lt;=2979000,Payroll_Data_Analysis[[#This Row],[11-Month Salary]]*0.302,2979000*0.302+(Payroll_Data_Analysis[[#This Row],[11-Month Salary]]-2979000)*0.151)</f>
        <v>182045.6</v>
      </c>
      <c r="T351" s="7">
        <f>IF(Payroll_Data_Analysis[[#This Row],[Base Salary (Monthly)]]&gt;=200000,69507,IF(Payroll_Data_Analysis[[#This Row],[Base Salary (Monthly)]]&gt;=145000,52684,35103))</f>
        <v>35103</v>
      </c>
      <c r="U351" s="7">
        <f>Payroll_Data_Analysis[[#This Row],[Annual KPI Bonus Reserve]]+Payroll_Data_Analysis[[#This Row],[Vacation Reserve]]+Payroll_Data_Analysis[[#This Row],[11-Month Salary]]</f>
        <v>716994.30034129694</v>
      </c>
      <c r="V351" s="7">
        <f>Payroll_Data_Analysis[[#This Row],[Payroll Taxes (KPI Bonus)]]+Payroll_Data_Analysis[[#This Row],[Payroll Taxes (Vacation)]]+Payroll_Data_Analysis[[#This Row],[Payroll Taxes (Salary)]]</f>
        <v>216532.27870307167</v>
      </c>
      <c r="W351" s="13">
        <f>Payroll_Data_Analysis[[#This Row],[Total Payroll]]+Payroll_Data_Analysis[[#This Row],[Total Payroll Taxes]]</f>
        <v>933526.57904436858</v>
      </c>
    </row>
    <row r="352" spans="1:23">
      <c r="A352" s="11" t="s">
        <v>664</v>
      </c>
      <c r="B352" s="5" t="s">
        <v>355</v>
      </c>
      <c r="C352" s="5" t="s">
        <v>733</v>
      </c>
      <c r="D352" s="28" t="str">
        <f>VLOOKUP(Payroll_Data_Analysis[[#This Row],[Position]],Position_Map!$A$2:$B$58,2,FALSE)</f>
        <v>Facilities</v>
      </c>
      <c r="E352" s="6">
        <v>1</v>
      </c>
      <c r="F352" s="7">
        <v>46000</v>
      </c>
      <c r="G352" s="7">
        <v>35000</v>
      </c>
      <c r="H352" s="7"/>
      <c r="I352" s="7">
        <f>dataset!$F352-dataset!$J352-dataset!$G352-dataset!$H352</f>
        <v>8200</v>
      </c>
      <c r="J352" s="7">
        <f>dataset!$G352*0.08</f>
        <v>2800</v>
      </c>
      <c r="K352" s="7">
        <f>dataset!$F352*12</f>
        <v>552000</v>
      </c>
      <c r="L352" s="12">
        <f>IF(dataset!$G352&gt;=200000,38%,IF(dataset!$G352&lt;=145000,12.3%,))</f>
        <v>0.12300000000000001</v>
      </c>
      <c r="M352" s="7">
        <f>dataset!$G352*L353*12</f>
        <v>51660</v>
      </c>
      <c r="N35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2" s="7">
        <f>dataset!$K352+dataset!$M352</f>
        <v>603660</v>
      </c>
      <c r="P352" s="7">
        <f>Payroll_Data_Analysis[[#This Row],[Annual Salary + KPI Bonus]]/12/29.3*31</f>
        <v>53223.720136518765</v>
      </c>
      <c r="Q352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52" s="7">
        <f>Payroll_Data_Analysis[[#This Row],[Monthly Salary]]*11</f>
        <v>506000</v>
      </c>
      <c r="S35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52" s="7">
        <f>IF(Payroll_Data_Analysis[[#This Row],[Base Salary (Monthly)]]&gt;=200000,69507,IF(Payroll_Data_Analysis[[#This Row],[Base Salary (Monthly)]]&gt;=145000,52684,35103))</f>
        <v>35103</v>
      </c>
      <c r="U352" s="7">
        <f>Payroll_Data_Analysis[[#This Row],[Annual KPI Bonus Reserve]]+Payroll_Data_Analysis[[#This Row],[Vacation Reserve]]+Payroll_Data_Analysis[[#This Row],[11-Month Salary]]</f>
        <v>610883.72013651882</v>
      </c>
      <c r="V352" s="7">
        <f>Payroll_Data_Analysis[[#This Row],[Payroll Taxes (KPI Bonus)]]+Payroll_Data_Analysis[[#This Row],[Payroll Taxes (Vacation)]]+Payroll_Data_Analysis[[#This Row],[Payroll Taxes (Salary)]]</f>
        <v>184486.88348122867</v>
      </c>
      <c r="W352" s="13">
        <f>Payroll_Data_Analysis[[#This Row],[Total Payroll]]+Payroll_Data_Analysis[[#This Row],[Total Payroll Taxes]]</f>
        <v>795370.60361774755</v>
      </c>
    </row>
    <row r="353" spans="1:23">
      <c r="A353" s="11" t="s">
        <v>664</v>
      </c>
      <c r="B353" s="5" t="s">
        <v>356</v>
      </c>
      <c r="C353" s="5" t="s">
        <v>733</v>
      </c>
      <c r="D353" s="28" t="str">
        <f>VLOOKUP(Payroll_Data_Analysis[[#This Row],[Position]],Position_Map!$A$2:$B$58,2,FALSE)</f>
        <v>Facilities</v>
      </c>
      <c r="E353" s="6">
        <v>1</v>
      </c>
      <c r="F353" s="7">
        <v>58175</v>
      </c>
      <c r="G353" s="7">
        <v>35000</v>
      </c>
      <c r="H353" s="7"/>
      <c r="I353" s="7">
        <f>dataset!$F353-dataset!$J353-dataset!$G353-dataset!$H353</f>
        <v>20375</v>
      </c>
      <c r="J353" s="7">
        <f>dataset!$G353*0.08</f>
        <v>2800</v>
      </c>
      <c r="K353" s="7">
        <f>dataset!$F353*12</f>
        <v>698100</v>
      </c>
      <c r="L353" s="12">
        <f>IF(dataset!$G353&gt;=200000,38%,IF(dataset!$G353&lt;=145000,12.3%,))</f>
        <v>0.12300000000000001</v>
      </c>
      <c r="M353" s="7">
        <f>dataset!$G353*L354*12</f>
        <v>51660</v>
      </c>
      <c r="N35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3" s="7">
        <f>dataset!$K353+dataset!$M353</f>
        <v>749760</v>
      </c>
      <c r="P353" s="7">
        <f>Payroll_Data_Analysis[[#This Row],[Annual Salary + KPI Bonus]]/12/29.3*31</f>
        <v>66105.119453924912</v>
      </c>
      <c r="Q353" s="7">
        <f>IF(Payroll_Data_Analysis[[#This Row],[Vacation Reserve]]&lt;=2979000,Payroll_Data_Analysis[[#This Row],[Vacation Reserve]]*0.302,2979000*0.302+(Payroll_Data_Analysis[[#This Row],[Vacation Reserve]]-2979000)*0.151)</f>
        <v>19963.746075085324</v>
      </c>
      <c r="R353" s="7">
        <f>Payroll_Data_Analysis[[#This Row],[Monthly Salary]]*11</f>
        <v>639925</v>
      </c>
      <c r="S353" s="7">
        <f>IF(Payroll_Data_Analysis[[#This Row],[11-Month Salary]]&lt;=2979000,Payroll_Data_Analysis[[#This Row],[11-Month Salary]]*0.302,2979000*0.302+(Payroll_Data_Analysis[[#This Row],[11-Month Salary]]-2979000)*0.151)</f>
        <v>193257.35</v>
      </c>
      <c r="T353" s="7">
        <f>IF(Payroll_Data_Analysis[[#This Row],[Base Salary (Monthly)]]&gt;=200000,69507,IF(Payroll_Data_Analysis[[#This Row],[Base Salary (Monthly)]]&gt;=145000,52684,35103))</f>
        <v>35103</v>
      </c>
      <c r="U353" s="7">
        <f>Payroll_Data_Analysis[[#This Row],[Annual KPI Bonus Reserve]]+Payroll_Data_Analysis[[#This Row],[Vacation Reserve]]+Payroll_Data_Analysis[[#This Row],[11-Month Salary]]</f>
        <v>757690.11945392494</v>
      </c>
      <c r="V353" s="7">
        <f>Payroll_Data_Analysis[[#This Row],[Payroll Taxes (KPI Bonus)]]+Payroll_Data_Analysis[[#This Row],[Payroll Taxes (Vacation)]]+Payroll_Data_Analysis[[#This Row],[Payroll Taxes (Salary)]]</f>
        <v>228822.41607508535</v>
      </c>
      <c r="W353" s="13">
        <f>Payroll_Data_Analysis[[#This Row],[Total Payroll]]+Payroll_Data_Analysis[[#This Row],[Total Payroll Taxes]]</f>
        <v>986512.53552901023</v>
      </c>
    </row>
    <row r="354" spans="1:23">
      <c r="A354" s="11" t="s">
        <v>664</v>
      </c>
      <c r="B354" s="5" t="s">
        <v>357</v>
      </c>
      <c r="C354" s="5" t="s">
        <v>733</v>
      </c>
      <c r="D354" s="28" t="str">
        <f>VLOOKUP(Payroll_Data_Analysis[[#This Row],[Position]],Position_Map!$A$2:$B$58,2,FALSE)</f>
        <v>Facilities</v>
      </c>
      <c r="E354" s="6">
        <v>1</v>
      </c>
      <c r="F354" s="7">
        <v>46000</v>
      </c>
      <c r="G354" s="7">
        <v>35000</v>
      </c>
      <c r="H354" s="7"/>
      <c r="I354" s="7">
        <f>dataset!$F354-dataset!$J354-dataset!$G354-dataset!$H354</f>
        <v>8200</v>
      </c>
      <c r="J354" s="7">
        <f>dataset!$G354*0.08</f>
        <v>2800</v>
      </c>
      <c r="K354" s="7">
        <f>dataset!$F354*12</f>
        <v>552000</v>
      </c>
      <c r="L354" s="12">
        <f>IF(dataset!$G354&gt;=200000,38%,IF(dataset!$G354&lt;=145000,12.3%,))</f>
        <v>0.12300000000000001</v>
      </c>
      <c r="M354" s="7">
        <f>dataset!$G354*L355*12</f>
        <v>51660</v>
      </c>
      <c r="N35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4" s="7">
        <f>dataset!$K354+dataset!$M354</f>
        <v>603660</v>
      </c>
      <c r="P354" s="7">
        <f>Payroll_Data_Analysis[[#This Row],[Annual Salary + KPI Bonus]]/12/29.3*31</f>
        <v>53223.720136518765</v>
      </c>
      <c r="Q35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54" s="7">
        <f>Payroll_Data_Analysis[[#This Row],[Monthly Salary]]*11</f>
        <v>506000</v>
      </c>
      <c r="S35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54" s="7">
        <f>IF(Payroll_Data_Analysis[[#This Row],[Base Salary (Monthly)]]&gt;=200000,69507,IF(Payroll_Data_Analysis[[#This Row],[Base Salary (Monthly)]]&gt;=145000,52684,35103))</f>
        <v>35103</v>
      </c>
      <c r="U354" s="7">
        <f>Payroll_Data_Analysis[[#This Row],[Annual KPI Bonus Reserve]]+Payroll_Data_Analysis[[#This Row],[Vacation Reserve]]+Payroll_Data_Analysis[[#This Row],[11-Month Salary]]</f>
        <v>610883.72013651882</v>
      </c>
      <c r="V354" s="7">
        <f>Payroll_Data_Analysis[[#This Row],[Payroll Taxes (KPI Bonus)]]+Payroll_Data_Analysis[[#This Row],[Payroll Taxes (Vacation)]]+Payroll_Data_Analysis[[#This Row],[Payroll Taxes (Salary)]]</f>
        <v>184486.88348122867</v>
      </c>
      <c r="W354" s="13">
        <f>Payroll_Data_Analysis[[#This Row],[Total Payroll]]+Payroll_Data_Analysis[[#This Row],[Total Payroll Taxes]]</f>
        <v>795370.60361774755</v>
      </c>
    </row>
    <row r="355" spans="1:23">
      <c r="A355" s="11" t="s">
        <v>664</v>
      </c>
      <c r="B355" s="5" t="s">
        <v>358</v>
      </c>
      <c r="C355" s="5" t="s">
        <v>733</v>
      </c>
      <c r="D355" s="28" t="str">
        <f>VLOOKUP(Payroll_Data_Analysis[[#This Row],[Position]],Position_Map!$A$2:$B$58,2,FALSE)</f>
        <v>Facilities</v>
      </c>
      <c r="E355" s="6">
        <v>1</v>
      </c>
      <c r="F355" s="7">
        <v>51800</v>
      </c>
      <c r="G355" s="7">
        <v>35000</v>
      </c>
      <c r="H355" s="7"/>
      <c r="I355" s="7">
        <f>dataset!$F355-dataset!$J355-dataset!$G355-dataset!$H355</f>
        <v>14000</v>
      </c>
      <c r="J355" s="7">
        <f>dataset!$G355*0.08</f>
        <v>2800</v>
      </c>
      <c r="K355" s="7">
        <f>dataset!$F355*12</f>
        <v>621600</v>
      </c>
      <c r="L355" s="12">
        <f>IF(dataset!$G355&gt;=200000,38%,IF(dataset!$G355&lt;=145000,12.3%,))</f>
        <v>0.12300000000000001</v>
      </c>
      <c r="M355" s="7">
        <f>dataset!$G355*L356*12</f>
        <v>51660</v>
      </c>
      <c r="N35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5" s="7">
        <f>dataset!$K355+dataset!$M355</f>
        <v>673260</v>
      </c>
      <c r="P355" s="7">
        <f>Payroll_Data_Analysis[[#This Row],[Annual Salary + KPI Bonus]]/12/29.3*31</f>
        <v>59360.238907849831</v>
      </c>
      <c r="Q355" s="7">
        <f>IF(Payroll_Data_Analysis[[#This Row],[Vacation Reserve]]&lt;=2979000,Payroll_Data_Analysis[[#This Row],[Vacation Reserve]]*0.302,2979000*0.302+(Payroll_Data_Analysis[[#This Row],[Vacation Reserve]]-2979000)*0.151)</f>
        <v>17926.792150170648</v>
      </c>
      <c r="R355" s="7">
        <f>Payroll_Data_Analysis[[#This Row],[Monthly Salary]]*11</f>
        <v>569800</v>
      </c>
      <c r="S355" s="7">
        <f>IF(Payroll_Data_Analysis[[#This Row],[11-Month Salary]]&lt;=2979000,Payroll_Data_Analysis[[#This Row],[11-Month Salary]]*0.302,2979000*0.302+(Payroll_Data_Analysis[[#This Row],[11-Month Salary]]-2979000)*0.151)</f>
        <v>172079.6</v>
      </c>
      <c r="T355" s="7">
        <f>IF(Payroll_Data_Analysis[[#This Row],[Base Salary (Monthly)]]&gt;=200000,69507,IF(Payroll_Data_Analysis[[#This Row],[Base Salary (Monthly)]]&gt;=145000,52684,35103))</f>
        <v>35103</v>
      </c>
      <c r="U355" s="7">
        <f>Payroll_Data_Analysis[[#This Row],[Annual KPI Bonus Reserve]]+Payroll_Data_Analysis[[#This Row],[Vacation Reserve]]+Payroll_Data_Analysis[[#This Row],[11-Month Salary]]</f>
        <v>680820.23890784988</v>
      </c>
      <c r="V355" s="7">
        <f>Payroll_Data_Analysis[[#This Row],[Payroll Taxes (KPI Bonus)]]+Payroll_Data_Analysis[[#This Row],[Payroll Taxes (Vacation)]]+Payroll_Data_Analysis[[#This Row],[Payroll Taxes (Salary)]]</f>
        <v>205607.71215017064</v>
      </c>
      <c r="W355" s="13">
        <f>Payroll_Data_Analysis[[#This Row],[Total Payroll]]+Payroll_Data_Analysis[[#This Row],[Total Payroll Taxes]]</f>
        <v>886427.95105802058</v>
      </c>
    </row>
    <row r="356" spans="1:23">
      <c r="A356" s="11" t="s">
        <v>664</v>
      </c>
      <c r="B356" s="5" t="s">
        <v>359</v>
      </c>
      <c r="C356" s="5" t="s">
        <v>733</v>
      </c>
      <c r="D356" s="28" t="str">
        <f>VLOOKUP(Payroll_Data_Analysis[[#This Row],[Position]],Position_Map!$A$2:$B$58,2,FALSE)</f>
        <v>Facilities</v>
      </c>
      <c r="E356" s="6">
        <v>1</v>
      </c>
      <c r="F356" s="7">
        <v>46000</v>
      </c>
      <c r="G356" s="7">
        <v>35000</v>
      </c>
      <c r="H356" s="7"/>
      <c r="I356" s="7">
        <f>dataset!$F356-dataset!$J356-dataset!$G356-dataset!$H356</f>
        <v>8200</v>
      </c>
      <c r="J356" s="7">
        <f>dataset!$G356*0.08</f>
        <v>2800</v>
      </c>
      <c r="K356" s="7">
        <f>dataset!$F356*12</f>
        <v>552000</v>
      </c>
      <c r="L356" s="12">
        <f>IF(dataset!$G356&gt;=200000,38%,IF(dataset!$G356&lt;=145000,12.3%,))</f>
        <v>0.12300000000000001</v>
      </c>
      <c r="M356" s="7">
        <f>dataset!$G356*L357*12</f>
        <v>51660</v>
      </c>
      <c r="N35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6" s="7">
        <f>dataset!$K356+dataset!$M356</f>
        <v>603660</v>
      </c>
      <c r="P356" s="7">
        <f>Payroll_Data_Analysis[[#This Row],[Annual Salary + KPI Bonus]]/12/29.3*31</f>
        <v>53223.720136518765</v>
      </c>
      <c r="Q35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56" s="7">
        <f>Payroll_Data_Analysis[[#This Row],[Monthly Salary]]*11</f>
        <v>506000</v>
      </c>
      <c r="S35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56" s="7">
        <f>IF(Payroll_Data_Analysis[[#This Row],[Base Salary (Monthly)]]&gt;=200000,69507,IF(Payroll_Data_Analysis[[#This Row],[Base Salary (Monthly)]]&gt;=145000,52684,35103))</f>
        <v>35103</v>
      </c>
      <c r="U356" s="7">
        <f>Payroll_Data_Analysis[[#This Row],[Annual KPI Bonus Reserve]]+Payroll_Data_Analysis[[#This Row],[Vacation Reserve]]+Payroll_Data_Analysis[[#This Row],[11-Month Salary]]</f>
        <v>610883.72013651882</v>
      </c>
      <c r="V356" s="7">
        <f>Payroll_Data_Analysis[[#This Row],[Payroll Taxes (KPI Bonus)]]+Payroll_Data_Analysis[[#This Row],[Payroll Taxes (Vacation)]]+Payroll_Data_Analysis[[#This Row],[Payroll Taxes (Salary)]]</f>
        <v>184486.88348122867</v>
      </c>
      <c r="W356" s="13">
        <f>Payroll_Data_Analysis[[#This Row],[Total Payroll]]+Payroll_Data_Analysis[[#This Row],[Total Payroll Taxes]]</f>
        <v>795370.60361774755</v>
      </c>
    </row>
    <row r="357" spans="1:23">
      <c r="A357" s="11" t="s">
        <v>664</v>
      </c>
      <c r="B357" s="5" t="s">
        <v>360</v>
      </c>
      <c r="C357" s="5" t="s">
        <v>733</v>
      </c>
      <c r="D357" s="28" t="str">
        <f>VLOOKUP(Payroll_Data_Analysis[[#This Row],[Position]],Position_Map!$A$2:$B$58,2,FALSE)</f>
        <v>Facilities</v>
      </c>
      <c r="E357" s="6">
        <v>1</v>
      </c>
      <c r="F357" s="7">
        <v>81000</v>
      </c>
      <c r="G357" s="7">
        <v>50000</v>
      </c>
      <c r="H357" s="7"/>
      <c r="I357" s="7">
        <f>dataset!$F357-dataset!$J357-dataset!$G357-dataset!$H357</f>
        <v>27000</v>
      </c>
      <c r="J357" s="7">
        <f>dataset!$G357*0.08</f>
        <v>4000</v>
      </c>
      <c r="K357" s="7">
        <f>dataset!$F357*12</f>
        <v>972000</v>
      </c>
      <c r="L357" s="12">
        <f>IF(dataset!$G357&gt;=200000,38%,IF(dataset!$G357&lt;=145000,12.3%,))</f>
        <v>0.12300000000000001</v>
      </c>
      <c r="M357" s="7">
        <f>dataset!$G357*L358*12</f>
        <v>73800.000000000015</v>
      </c>
      <c r="N357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357" s="7">
        <f>dataset!$K357+dataset!$M357</f>
        <v>1045800</v>
      </c>
      <c r="P357" s="7">
        <f>Payroll_Data_Analysis[[#This Row],[Annual Salary + KPI Bonus]]/12/29.3*31</f>
        <v>92206.484641638221</v>
      </c>
      <c r="Q357" s="7">
        <f>IF(Payroll_Data_Analysis[[#This Row],[Vacation Reserve]]&lt;=2979000,Payroll_Data_Analysis[[#This Row],[Vacation Reserve]]*0.302,2979000*0.302+(Payroll_Data_Analysis[[#This Row],[Vacation Reserve]]-2979000)*0.151)</f>
        <v>27846.358361774743</v>
      </c>
      <c r="R357" s="7">
        <f>Payroll_Data_Analysis[[#This Row],[Monthly Salary]]*11</f>
        <v>891000</v>
      </c>
      <c r="S357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357" s="7">
        <f>IF(Payroll_Data_Analysis[[#This Row],[Base Salary (Monthly)]]&gt;=200000,69507,IF(Payroll_Data_Analysis[[#This Row],[Base Salary (Monthly)]]&gt;=145000,52684,35103))</f>
        <v>35103</v>
      </c>
      <c r="U357" s="7">
        <f>Payroll_Data_Analysis[[#This Row],[Annual KPI Bonus Reserve]]+Payroll_Data_Analysis[[#This Row],[Vacation Reserve]]+Payroll_Data_Analysis[[#This Row],[11-Month Salary]]</f>
        <v>1057006.4846416381</v>
      </c>
      <c r="V357" s="7">
        <f>Payroll_Data_Analysis[[#This Row],[Payroll Taxes (KPI Bonus)]]+Payroll_Data_Analysis[[#This Row],[Payroll Taxes (Vacation)]]+Payroll_Data_Analysis[[#This Row],[Payroll Taxes (Salary)]]</f>
        <v>319215.95836177474</v>
      </c>
      <c r="W357" s="13">
        <f>Payroll_Data_Analysis[[#This Row],[Total Payroll]]+Payroll_Data_Analysis[[#This Row],[Total Payroll Taxes]]</f>
        <v>1376222.4430034128</v>
      </c>
    </row>
    <row r="358" spans="1:23">
      <c r="A358" s="11" t="s">
        <v>664</v>
      </c>
      <c r="B358" s="5" t="s">
        <v>361</v>
      </c>
      <c r="C358" s="5" t="s">
        <v>733</v>
      </c>
      <c r="D358" s="28" t="str">
        <f>VLOOKUP(Payroll_Data_Analysis[[#This Row],[Position]],Position_Map!$A$2:$B$58,2,FALSE)</f>
        <v>Facilities</v>
      </c>
      <c r="E358" s="6">
        <v>1</v>
      </c>
      <c r="F358" s="7">
        <v>34760</v>
      </c>
      <c r="G358" s="7">
        <v>30000</v>
      </c>
      <c r="H358" s="7"/>
      <c r="I358" s="7">
        <f>dataset!$F358-dataset!$J358-dataset!$G358-dataset!$H358</f>
        <v>2360</v>
      </c>
      <c r="J358" s="7">
        <f>dataset!$G358*0.08</f>
        <v>2400</v>
      </c>
      <c r="K358" s="7">
        <f>dataset!$F358*12</f>
        <v>417120</v>
      </c>
      <c r="L358" s="12">
        <f>IF(dataset!$G358&gt;=200000,38%,IF(dataset!$G358&lt;=145000,12.3%,))</f>
        <v>0.12300000000000001</v>
      </c>
      <c r="M358" s="7">
        <f>dataset!$G358*L359*12</f>
        <v>44280.000000000007</v>
      </c>
      <c r="N358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358" s="7">
        <f>dataset!$K358+dataset!$M358</f>
        <v>461400</v>
      </c>
      <c r="P358" s="7">
        <f>Payroll_Data_Analysis[[#This Row],[Annual Salary + KPI Bonus]]/12/29.3*31</f>
        <v>40680.887372013654</v>
      </c>
      <c r="Q358" s="7">
        <f>IF(Payroll_Data_Analysis[[#This Row],[Vacation Reserve]]&lt;=2979000,Payroll_Data_Analysis[[#This Row],[Vacation Reserve]]*0.302,2979000*0.302+(Payroll_Data_Analysis[[#This Row],[Vacation Reserve]]-2979000)*0.151)</f>
        <v>12285.627986348123</v>
      </c>
      <c r="R358" s="7">
        <f>Payroll_Data_Analysis[[#This Row],[Monthly Salary]]*11</f>
        <v>382360</v>
      </c>
      <c r="S358" s="7">
        <f>IF(Payroll_Data_Analysis[[#This Row],[11-Month Salary]]&lt;=2979000,Payroll_Data_Analysis[[#This Row],[11-Month Salary]]*0.302,2979000*0.302+(Payroll_Data_Analysis[[#This Row],[11-Month Salary]]-2979000)*0.151)</f>
        <v>115472.72</v>
      </c>
      <c r="T358" s="7">
        <f>IF(Payroll_Data_Analysis[[#This Row],[Base Salary (Monthly)]]&gt;=200000,69507,IF(Payroll_Data_Analysis[[#This Row],[Base Salary (Monthly)]]&gt;=145000,52684,35103))</f>
        <v>35103</v>
      </c>
      <c r="U358" s="7">
        <f>Payroll_Data_Analysis[[#This Row],[Annual KPI Bonus Reserve]]+Payroll_Data_Analysis[[#This Row],[Vacation Reserve]]+Payroll_Data_Analysis[[#This Row],[11-Month Salary]]</f>
        <v>467320.88737201365</v>
      </c>
      <c r="V358" s="7">
        <f>Payroll_Data_Analysis[[#This Row],[Payroll Taxes (KPI Bonus)]]+Payroll_Data_Analysis[[#This Row],[Payroll Taxes (Vacation)]]+Payroll_Data_Analysis[[#This Row],[Payroll Taxes (Salary)]]</f>
        <v>141130.90798634812</v>
      </c>
      <c r="W358" s="13">
        <f>Payroll_Data_Analysis[[#This Row],[Total Payroll]]+Payroll_Data_Analysis[[#This Row],[Total Payroll Taxes]]</f>
        <v>608451.79535836179</v>
      </c>
    </row>
    <row r="359" spans="1:23">
      <c r="A359" s="11" t="s">
        <v>664</v>
      </c>
      <c r="B359" s="5" t="s">
        <v>362</v>
      </c>
      <c r="C359" s="5" t="s">
        <v>733</v>
      </c>
      <c r="D359" s="28" t="str">
        <f>VLOOKUP(Payroll_Data_Analysis[[#This Row],[Position]],Position_Map!$A$2:$B$58,2,FALSE)</f>
        <v>Facilities</v>
      </c>
      <c r="E359" s="6">
        <v>1</v>
      </c>
      <c r="F359" s="7">
        <v>57800</v>
      </c>
      <c r="G359" s="7">
        <v>35000</v>
      </c>
      <c r="H359" s="7"/>
      <c r="I359" s="7">
        <f>dataset!$F359-dataset!$J359-dataset!$G359-dataset!$H359</f>
        <v>20000</v>
      </c>
      <c r="J359" s="7">
        <f>dataset!$G359*0.08</f>
        <v>2800</v>
      </c>
      <c r="K359" s="7">
        <f>dataset!$F359*12</f>
        <v>693600</v>
      </c>
      <c r="L359" s="12">
        <f>IF(dataset!$G359&gt;=200000,38%,IF(dataset!$G359&lt;=145000,12.3%,))</f>
        <v>0.12300000000000001</v>
      </c>
      <c r="M359" s="7">
        <f>dataset!$G359*L360*12</f>
        <v>51660</v>
      </c>
      <c r="N35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59" s="7">
        <f>dataset!$K359+dataset!$M359</f>
        <v>745260</v>
      </c>
      <c r="P359" s="7">
        <f>Payroll_Data_Analysis[[#This Row],[Annual Salary + KPI Bonus]]/12/29.3*31</f>
        <v>65708.361774744029</v>
      </c>
      <c r="Q359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59" s="7">
        <f>Payroll_Data_Analysis[[#This Row],[Monthly Salary]]*11</f>
        <v>635800</v>
      </c>
      <c r="S359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59" s="7">
        <f>IF(Payroll_Data_Analysis[[#This Row],[Base Salary (Monthly)]]&gt;=200000,69507,IF(Payroll_Data_Analysis[[#This Row],[Base Salary (Monthly)]]&gt;=145000,52684,35103))</f>
        <v>35103</v>
      </c>
      <c r="U359" s="7">
        <f>Payroll_Data_Analysis[[#This Row],[Annual KPI Bonus Reserve]]+Payroll_Data_Analysis[[#This Row],[Vacation Reserve]]+Payroll_Data_Analysis[[#This Row],[11-Month Salary]]</f>
        <v>753168.361774744</v>
      </c>
      <c r="V359" s="7">
        <f>Payroll_Data_Analysis[[#This Row],[Payroll Taxes (KPI Bonus)]]+Payroll_Data_Analysis[[#This Row],[Payroll Taxes (Vacation)]]+Payroll_Data_Analysis[[#This Row],[Payroll Taxes (Salary)]]</f>
        <v>227456.8452559727</v>
      </c>
      <c r="W359" s="13">
        <f>Payroll_Data_Analysis[[#This Row],[Total Payroll]]+Payroll_Data_Analysis[[#This Row],[Total Payroll Taxes]]</f>
        <v>980625.2070307167</v>
      </c>
    </row>
    <row r="360" spans="1:23">
      <c r="A360" s="11" t="s">
        <v>664</v>
      </c>
      <c r="B360" s="5" t="s">
        <v>363</v>
      </c>
      <c r="C360" s="5" t="s">
        <v>734</v>
      </c>
      <c r="D360" s="28" t="str">
        <f>VLOOKUP(Payroll_Data_Analysis[[#This Row],[Position]],Position_Map!$A$2:$B$58,2,FALSE)</f>
        <v>Facilities</v>
      </c>
      <c r="E360" s="6">
        <v>1</v>
      </c>
      <c r="F360" s="7">
        <v>89000</v>
      </c>
      <c r="G360" s="7">
        <v>60000</v>
      </c>
      <c r="H360" s="7"/>
      <c r="I360" s="7">
        <f>dataset!$F360-dataset!$J360-dataset!$G360-dataset!$H360</f>
        <v>24200</v>
      </c>
      <c r="J360" s="7">
        <f>dataset!$G360*0.08</f>
        <v>4800</v>
      </c>
      <c r="K360" s="7">
        <f>dataset!$F360*12</f>
        <v>1068000</v>
      </c>
      <c r="L360" s="12">
        <f>IF(dataset!$G360&gt;=200000,38%,IF(dataset!$G360&lt;=145000,12.3%,))</f>
        <v>0.12300000000000001</v>
      </c>
      <c r="M360" s="7">
        <f>dataset!$G360*L361*12</f>
        <v>88560.000000000015</v>
      </c>
      <c r="N36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0" s="7">
        <f>dataset!$K360+dataset!$M360</f>
        <v>1156560</v>
      </c>
      <c r="P360" s="7">
        <f>Payroll_Data_Analysis[[#This Row],[Annual Salary + KPI Bonus]]/12/29.3*31</f>
        <v>101972.01365187713</v>
      </c>
      <c r="Q360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360" s="7">
        <f>Payroll_Data_Analysis[[#This Row],[Monthly Salary]]*11</f>
        <v>979000</v>
      </c>
      <c r="S360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360" s="7">
        <f>IF(Payroll_Data_Analysis[[#This Row],[Base Salary (Monthly)]]&gt;=200000,69507,IF(Payroll_Data_Analysis[[#This Row],[Base Salary (Monthly)]]&gt;=145000,52684,35103))</f>
        <v>35103</v>
      </c>
      <c r="U360" s="7">
        <f>Payroll_Data_Analysis[[#This Row],[Annual KPI Bonus Reserve]]+Payroll_Data_Analysis[[#This Row],[Vacation Reserve]]+Payroll_Data_Analysis[[#This Row],[11-Month Salary]]</f>
        <v>1169532.0136518772</v>
      </c>
      <c r="V360" s="7">
        <f>Payroll_Data_Analysis[[#This Row],[Payroll Taxes (KPI Bonus)]]+Payroll_Data_Analysis[[#This Row],[Payroll Taxes (Vacation)]]+Payroll_Data_Analysis[[#This Row],[Payroll Taxes (Salary)]]</f>
        <v>353198.66812286689</v>
      </c>
      <c r="W360" s="13">
        <f>Payroll_Data_Analysis[[#This Row],[Total Payroll]]+Payroll_Data_Analysis[[#This Row],[Total Payroll Taxes]]</f>
        <v>1522730.6817747441</v>
      </c>
    </row>
    <row r="361" spans="1:23">
      <c r="A361" s="11" t="s">
        <v>664</v>
      </c>
      <c r="B361" s="5" t="s">
        <v>364</v>
      </c>
      <c r="C361" s="5" t="s">
        <v>735</v>
      </c>
      <c r="D361" s="28" t="str">
        <f>VLOOKUP(Payroll_Data_Analysis[[#This Row],[Position]],Position_Map!$A$2:$B$58,2,FALSE)</f>
        <v>Technical</v>
      </c>
      <c r="E361" s="6">
        <v>1</v>
      </c>
      <c r="F361" s="7">
        <v>126400</v>
      </c>
      <c r="G361" s="7">
        <v>100000</v>
      </c>
      <c r="H361" s="7"/>
      <c r="I361" s="7">
        <f>dataset!$F361-dataset!$J361-dataset!$G361-dataset!$H361</f>
        <v>18400</v>
      </c>
      <c r="J361" s="7">
        <f>dataset!$G361*0.08</f>
        <v>8000</v>
      </c>
      <c r="K361" s="7">
        <f>dataset!$F361*12</f>
        <v>1516800</v>
      </c>
      <c r="L361" s="12">
        <f>IF(dataset!$G361&gt;=200000,38%,IF(dataset!$G361&lt;=145000,12.3%,))</f>
        <v>0.12300000000000001</v>
      </c>
      <c r="M361" s="7">
        <f>dataset!$G361*L362*12</f>
        <v>147600.00000000003</v>
      </c>
      <c r="N36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361" s="7">
        <f>dataset!$K361+dataset!$M361</f>
        <v>1664400</v>
      </c>
      <c r="P361" s="7">
        <f>Payroll_Data_Analysis[[#This Row],[Annual Salary + KPI Bonus]]/12/29.3*31</f>
        <v>146747.44027303753</v>
      </c>
      <c r="Q361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361" s="7">
        <f>Payroll_Data_Analysis[[#This Row],[Monthly Salary]]*11</f>
        <v>1390400</v>
      </c>
      <c r="S361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361" s="7">
        <f>IF(Payroll_Data_Analysis[[#This Row],[Base Salary (Monthly)]]&gt;=200000,69507,IF(Payroll_Data_Analysis[[#This Row],[Base Salary (Monthly)]]&gt;=145000,52684,35103))</f>
        <v>35103</v>
      </c>
      <c r="U361" s="7">
        <f>Payroll_Data_Analysis[[#This Row],[Annual KPI Bonus Reserve]]+Payroll_Data_Analysis[[#This Row],[Vacation Reserve]]+Payroll_Data_Analysis[[#This Row],[11-Month Salary]]</f>
        <v>1684747.4402730376</v>
      </c>
      <c r="V361" s="7">
        <f>Payroll_Data_Analysis[[#This Row],[Payroll Taxes (KPI Bonus)]]+Payroll_Data_Analysis[[#This Row],[Payroll Taxes (Vacation)]]+Payroll_Data_Analysis[[#This Row],[Payroll Taxes (Salary)]]</f>
        <v>508793.72696245729</v>
      </c>
      <c r="W361" s="13">
        <f>Payroll_Data_Analysis[[#This Row],[Total Payroll]]+Payroll_Data_Analysis[[#This Row],[Total Payroll Taxes]]</f>
        <v>2193541.1672354951</v>
      </c>
    </row>
    <row r="362" spans="1:23">
      <c r="A362" s="11" t="s">
        <v>664</v>
      </c>
      <c r="B362" s="5" t="s">
        <v>365</v>
      </c>
      <c r="C362" s="5" t="s">
        <v>736</v>
      </c>
      <c r="D362" s="28" t="str">
        <f>VLOOKUP(Payroll_Data_Analysis[[#This Row],[Position]],Position_Map!$A$2:$B$58,2,FALSE)</f>
        <v>Technical</v>
      </c>
      <c r="E362" s="6">
        <v>1</v>
      </c>
      <c r="F362" s="7">
        <v>89000</v>
      </c>
      <c r="G362" s="7">
        <v>60000</v>
      </c>
      <c r="H362" s="7"/>
      <c r="I362" s="7">
        <f>dataset!$F362-dataset!$J362-dataset!$G362-dataset!$H362</f>
        <v>24200</v>
      </c>
      <c r="J362" s="7">
        <f>dataset!$G362*0.08</f>
        <v>4800</v>
      </c>
      <c r="K362" s="7">
        <f>dataset!$F362*12</f>
        <v>1068000</v>
      </c>
      <c r="L362" s="12">
        <f>IF(dataset!$G362&gt;=200000,38%,IF(dataset!$G362&lt;=145000,12.3%,))</f>
        <v>0.12300000000000001</v>
      </c>
      <c r="M362" s="7">
        <f>dataset!$G362*L363*12</f>
        <v>88560.000000000015</v>
      </c>
      <c r="N36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2" s="7">
        <f>dataset!$K362+dataset!$M362</f>
        <v>1156560</v>
      </c>
      <c r="P362" s="7">
        <f>Payroll_Data_Analysis[[#This Row],[Annual Salary + KPI Bonus]]/12/29.3*31</f>
        <v>101972.01365187713</v>
      </c>
      <c r="Q362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362" s="7">
        <f>Payroll_Data_Analysis[[#This Row],[Monthly Salary]]*11</f>
        <v>979000</v>
      </c>
      <c r="S362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362" s="7">
        <f>IF(Payroll_Data_Analysis[[#This Row],[Base Salary (Monthly)]]&gt;=200000,69507,IF(Payroll_Data_Analysis[[#This Row],[Base Salary (Monthly)]]&gt;=145000,52684,35103))</f>
        <v>35103</v>
      </c>
      <c r="U362" s="7">
        <f>Payroll_Data_Analysis[[#This Row],[Annual KPI Bonus Reserve]]+Payroll_Data_Analysis[[#This Row],[Vacation Reserve]]+Payroll_Data_Analysis[[#This Row],[11-Month Salary]]</f>
        <v>1169532.0136518772</v>
      </c>
      <c r="V362" s="7">
        <f>Payroll_Data_Analysis[[#This Row],[Payroll Taxes (KPI Bonus)]]+Payroll_Data_Analysis[[#This Row],[Payroll Taxes (Vacation)]]+Payroll_Data_Analysis[[#This Row],[Payroll Taxes (Salary)]]</f>
        <v>353198.66812286689</v>
      </c>
      <c r="W362" s="13">
        <f>Payroll_Data_Analysis[[#This Row],[Total Payroll]]+Payroll_Data_Analysis[[#This Row],[Total Payroll Taxes]]</f>
        <v>1522730.6817747441</v>
      </c>
    </row>
    <row r="363" spans="1:23">
      <c r="A363" s="11" t="s">
        <v>664</v>
      </c>
      <c r="B363" s="5" t="s">
        <v>366</v>
      </c>
      <c r="C363" s="5" t="s">
        <v>735</v>
      </c>
      <c r="D363" s="28" t="str">
        <f>VLOOKUP(Payroll_Data_Analysis[[#This Row],[Position]],Position_Map!$A$2:$B$58,2,FALSE)</f>
        <v>Technical</v>
      </c>
      <c r="E363" s="6">
        <v>1</v>
      </c>
      <c r="F363" s="7">
        <v>87920</v>
      </c>
      <c r="G363" s="7">
        <v>60000</v>
      </c>
      <c r="H363" s="7"/>
      <c r="I363" s="7">
        <f>dataset!$F363-dataset!$J363-dataset!$G363-dataset!$H363</f>
        <v>23120</v>
      </c>
      <c r="J363" s="7">
        <f>dataset!$G363*0.08</f>
        <v>4800</v>
      </c>
      <c r="K363" s="7">
        <f>dataset!$F363*12</f>
        <v>1055040</v>
      </c>
      <c r="L363" s="12">
        <f>IF(dataset!$G363&gt;=200000,38%,IF(dataset!$G363&lt;=145000,12.3%,))</f>
        <v>0.12300000000000001</v>
      </c>
      <c r="M363" s="7">
        <f>dataset!$G363*L364*12</f>
        <v>88560.000000000015</v>
      </c>
      <c r="N36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3" s="7">
        <f>dataset!$K363+dataset!$M363</f>
        <v>1143600</v>
      </c>
      <c r="P363" s="7">
        <f>Payroll_Data_Analysis[[#This Row],[Annual Salary + KPI Bonus]]/12/29.3*31</f>
        <v>100829.35153583618</v>
      </c>
      <c r="Q363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63" s="7">
        <f>Payroll_Data_Analysis[[#This Row],[Monthly Salary]]*11</f>
        <v>967120</v>
      </c>
      <c r="S363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63" s="7">
        <f>IF(Payroll_Data_Analysis[[#This Row],[Base Salary (Monthly)]]&gt;=200000,69507,IF(Payroll_Data_Analysis[[#This Row],[Base Salary (Monthly)]]&gt;=145000,52684,35103))</f>
        <v>35103</v>
      </c>
      <c r="U363" s="7">
        <f>Payroll_Data_Analysis[[#This Row],[Annual KPI Bonus Reserve]]+Payroll_Data_Analysis[[#This Row],[Vacation Reserve]]+Payroll_Data_Analysis[[#This Row],[11-Month Salary]]</f>
        <v>1156509.3515358362</v>
      </c>
      <c r="V363" s="7">
        <f>Payroll_Data_Analysis[[#This Row],[Payroll Taxes (KPI Bonus)]]+Payroll_Data_Analysis[[#This Row],[Payroll Taxes (Vacation)]]+Payroll_Data_Analysis[[#This Row],[Payroll Taxes (Salary)]]</f>
        <v>349265.82416382252</v>
      </c>
      <c r="W363" s="13">
        <f>Payroll_Data_Analysis[[#This Row],[Total Payroll]]+Payroll_Data_Analysis[[#This Row],[Total Payroll Taxes]]</f>
        <v>1505775.1756996587</v>
      </c>
    </row>
    <row r="364" spans="1:23">
      <c r="A364" s="11" t="s">
        <v>664</v>
      </c>
      <c r="B364" s="5" t="s">
        <v>367</v>
      </c>
      <c r="C364" s="5" t="s">
        <v>735</v>
      </c>
      <c r="D364" s="28" t="str">
        <f>VLOOKUP(Payroll_Data_Analysis[[#This Row],[Position]],Position_Map!$A$2:$B$58,2,FALSE)</f>
        <v>Technical</v>
      </c>
      <c r="E364" s="6">
        <v>1</v>
      </c>
      <c r="F364" s="7">
        <v>87920</v>
      </c>
      <c r="G364" s="7">
        <v>60000</v>
      </c>
      <c r="H364" s="7"/>
      <c r="I364" s="7">
        <f>dataset!$F364-dataset!$J364-dataset!$G364-dataset!$H364</f>
        <v>23120</v>
      </c>
      <c r="J364" s="7">
        <f>dataset!$G364*0.08</f>
        <v>4800</v>
      </c>
      <c r="K364" s="7">
        <f>dataset!$F364*12</f>
        <v>1055040</v>
      </c>
      <c r="L364" s="12">
        <f>IF(dataset!$G364&gt;=200000,38%,IF(dataset!$G364&lt;=145000,12.3%,))</f>
        <v>0.12300000000000001</v>
      </c>
      <c r="M364" s="7">
        <f>dataset!$G364*L365*12</f>
        <v>88560.000000000015</v>
      </c>
      <c r="N36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4" s="7">
        <f>dataset!$K364+dataset!$M364</f>
        <v>1143600</v>
      </c>
      <c r="P364" s="7">
        <f>Payroll_Data_Analysis[[#This Row],[Annual Salary + KPI Bonus]]/12/29.3*31</f>
        <v>100829.35153583618</v>
      </c>
      <c r="Q364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64" s="7">
        <f>Payroll_Data_Analysis[[#This Row],[Monthly Salary]]*11</f>
        <v>967120</v>
      </c>
      <c r="S364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64" s="7">
        <f>IF(Payroll_Data_Analysis[[#This Row],[Base Salary (Monthly)]]&gt;=200000,69507,IF(Payroll_Data_Analysis[[#This Row],[Base Salary (Monthly)]]&gt;=145000,52684,35103))</f>
        <v>35103</v>
      </c>
      <c r="U364" s="7">
        <f>Payroll_Data_Analysis[[#This Row],[Annual KPI Bonus Reserve]]+Payroll_Data_Analysis[[#This Row],[Vacation Reserve]]+Payroll_Data_Analysis[[#This Row],[11-Month Salary]]</f>
        <v>1156509.3515358362</v>
      </c>
      <c r="V364" s="7">
        <f>Payroll_Data_Analysis[[#This Row],[Payroll Taxes (KPI Bonus)]]+Payroll_Data_Analysis[[#This Row],[Payroll Taxes (Vacation)]]+Payroll_Data_Analysis[[#This Row],[Payroll Taxes (Salary)]]</f>
        <v>349265.82416382252</v>
      </c>
      <c r="W364" s="13">
        <f>Payroll_Data_Analysis[[#This Row],[Total Payroll]]+Payroll_Data_Analysis[[#This Row],[Total Payroll Taxes]]</f>
        <v>1505775.1756996587</v>
      </c>
    </row>
    <row r="365" spans="1:23">
      <c r="A365" s="11" t="s">
        <v>664</v>
      </c>
      <c r="B365" s="5" t="s">
        <v>368</v>
      </c>
      <c r="C365" s="5" t="s">
        <v>735</v>
      </c>
      <c r="D365" s="28" t="str">
        <f>VLOOKUP(Payroll_Data_Analysis[[#This Row],[Position]],Position_Map!$A$2:$B$58,2,FALSE)</f>
        <v>Technical</v>
      </c>
      <c r="E365" s="6">
        <v>1</v>
      </c>
      <c r="F365" s="7">
        <v>87920</v>
      </c>
      <c r="G365" s="7">
        <v>60000</v>
      </c>
      <c r="H365" s="7"/>
      <c r="I365" s="7">
        <f>dataset!$F365-dataset!$J365-dataset!$G365-dataset!$H365</f>
        <v>23120</v>
      </c>
      <c r="J365" s="7">
        <f>dataset!$G365*0.08</f>
        <v>4800</v>
      </c>
      <c r="K365" s="7">
        <f>dataset!$F365*12</f>
        <v>1055040</v>
      </c>
      <c r="L365" s="12">
        <f>IF(dataset!$G365&gt;=200000,38%,IF(dataset!$G365&lt;=145000,12.3%,))</f>
        <v>0.12300000000000001</v>
      </c>
      <c r="M365" s="7">
        <f>dataset!$G365*L366*12</f>
        <v>88560.000000000015</v>
      </c>
      <c r="N36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5" s="7">
        <f>dataset!$K365+dataset!$M365</f>
        <v>1143600</v>
      </c>
      <c r="P365" s="7">
        <f>Payroll_Data_Analysis[[#This Row],[Annual Salary + KPI Bonus]]/12/29.3*31</f>
        <v>100829.35153583618</v>
      </c>
      <c r="Q365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65" s="7">
        <f>Payroll_Data_Analysis[[#This Row],[Monthly Salary]]*11</f>
        <v>967120</v>
      </c>
      <c r="S365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65" s="7">
        <f>IF(Payroll_Data_Analysis[[#This Row],[Base Salary (Monthly)]]&gt;=200000,69507,IF(Payroll_Data_Analysis[[#This Row],[Base Salary (Monthly)]]&gt;=145000,52684,35103))</f>
        <v>35103</v>
      </c>
      <c r="U365" s="7">
        <f>Payroll_Data_Analysis[[#This Row],[Annual KPI Bonus Reserve]]+Payroll_Data_Analysis[[#This Row],[Vacation Reserve]]+Payroll_Data_Analysis[[#This Row],[11-Month Salary]]</f>
        <v>1156509.3515358362</v>
      </c>
      <c r="V365" s="7">
        <f>Payroll_Data_Analysis[[#This Row],[Payroll Taxes (KPI Bonus)]]+Payroll_Data_Analysis[[#This Row],[Payroll Taxes (Vacation)]]+Payroll_Data_Analysis[[#This Row],[Payroll Taxes (Salary)]]</f>
        <v>349265.82416382252</v>
      </c>
      <c r="W365" s="13">
        <f>Payroll_Data_Analysis[[#This Row],[Total Payroll]]+Payroll_Data_Analysis[[#This Row],[Total Payroll Taxes]]</f>
        <v>1505775.1756996587</v>
      </c>
    </row>
    <row r="366" spans="1:23">
      <c r="A366" s="11" t="s">
        <v>664</v>
      </c>
      <c r="B366" s="5" t="s">
        <v>369</v>
      </c>
      <c r="C366" s="5" t="s">
        <v>735</v>
      </c>
      <c r="D366" s="28" t="str">
        <f>VLOOKUP(Payroll_Data_Analysis[[#This Row],[Position]],Position_Map!$A$2:$B$58,2,FALSE)</f>
        <v>Technical</v>
      </c>
      <c r="E366" s="6">
        <v>1</v>
      </c>
      <c r="F366" s="7">
        <v>87920</v>
      </c>
      <c r="G366" s="7">
        <v>60000</v>
      </c>
      <c r="H366" s="7"/>
      <c r="I366" s="7">
        <f>dataset!$F366-dataset!$J366-dataset!$G366-dataset!$H366</f>
        <v>23120</v>
      </c>
      <c r="J366" s="7">
        <f>dataset!$G366*0.08</f>
        <v>4800</v>
      </c>
      <c r="K366" s="7">
        <f>dataset!$F366*12</f>
        <v>1055040</v>
      </c>
      <c r="L366" s="12">
        <f>IF(dataset!$G366&gt;=200000,38%,IF(dataset!$G366&lt;=145000,12.3%,))</f>
        <v>0.12300000000000001</v>
      </c>
      <c r="M366" s="7">
        <f>dataset!$G366*L367*12</f>
        <v>88560.000000000015</v>
      </c>
      <c r="N36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6" s="7">
        <f>dataset!$K366+dataset!$M366</f>
        <v>1143600</v>
      </c>
      <c r="P366" s="7">
        <f>Payroll_Data_Analysis[[#This Row],[Annual Salary + KPI Bonus]]/12/29.3*31</f>
        <v>100829.35153583618</v>
      </c>
      <c r="Q366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66" s="7">
        <f>Payroll_Data_Analysis[[#This Row],[Monthly Salary]]*11</f>
        <v>967120</v>
      </c>
      <c r="S366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66" s="7">
        <f>IF(Payroll_Data_Analysis[[#This Row],[Base Salary (Monthly)]]&gt;=200000,69507,IF(Payroll_Data_Analysis[[#This Row],[Base Salary (Monthly)]]&gt;=145000,52684,35103))</f>
        <v>35103</v>
      </c>
      <c r="U366" s="7">
        <f>Payroll_Data_Analysis[[#This Row],[Annual KPI Bonus Reserve]]+Payroll_Data_Analysis[[#This Row],[Vacation Reserve]]+Payroll_Data_Analysis[[#This Row],[11-Month Salary]]</f>
        <v>1156509.3515358362</v>
      </c>
      <c r="V366" s="7">
        <f>Payroll_Data_Analysis[[#This Row],[Payroll Taxes (KPI Bonus)]]+Payroll_Data_Analysis[[#This Row],[Payroll Taxes (Vacation)]]+Payroll_Data_Analysis[[#This Row],[Payroll Taxes (Salary)]]</f>
        <v>349265.82416382252</v>
      </c>
      <c r="W366" s="13">
        <f>Payroll_Data_Analysis[[#This Row],[Total Payroll]]+Payroll_Data_Analysis[[#This Row],[Total Payroll Taxes]]</f>
        <v>1505775.1756996587</v>
      </c>
    </row>
    <row r="367" spans="1:23">
      <c r="A367" s="11" t="s">
        <v>664</v>
      </c>
      <c r="B367" s="5" t="s">
        <v>370</v>
      </c>
      <c r="C367" s="5" t="s">
        <v>705</v>
      </c>
      <c r="D367" s="28" t="str">
        <f>VLOOKUP(Payroll_Data_Analysis[[#This Row],[Position]],Position_Map!$A$2:$B$58,2,FALSE)</f>
        <v>Professional</v>
      </c>
      <c r="E367" s="6">
        <v>1</v>
      </c>
      <c r="F367" s="7">
        <v>87920</v>
      </c>
      <c r="G367" s="7">
        <v>60000</v>
      </c>
      <c r="H367" s="7"/>
      <c r="I367" s="7">
        <f>dataset!$F367-dataset!$J367-dataset!$G367-dataset!$H367</f>
        <v>23120</v>
      </c>
      <c r="J367" s="7">
        <f>dataset!$G367*0.08</f>
        <v>4800</v>
      </c>
      <c r="K367" s="7">
        <f>dataset!$F367*12</f>
        <v>1055040</v>
      </c>
      <c r="L367" s="12">
        <f>IF(dataset!$G367&gt;=200000,38%,IF(dataset!$G367&lt;=145000,12.3%,))</f>
        <v>0.12300000000000001</v>
      </c>
      <c r="M367" s="7">
        <f>dataset!$G367*L368*12</f>
        <v>88560.000000000015</v>
      </c>
      <c r="N36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67" s="7">
        <f>dataset!$K367+dataset!$M367</f>
        <v>1143600</v>
      </c>
      <c r="P367" s="7">
        <f>Payroll_Data_Analysis[[#This Row],[Annual Salary + KPI Bonus]]/12/29.3*31</f>
        <v>100829.35153583618</v>
      </c>
      <c r="Q367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67" s="7">
        <f>Payroll_Data_Analysis[[#This Row],[Monthly Salary]]*11</f>
        <v>967120</v>
      </c>
      <c r="S367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67" s="7">
        <f>IF(Payroll_Data_Analysis[[#This Row],[Base Salary (Monthly)]]&gt;=200000,69507,IF(Payroll_Data_Analysis[[#This Row],[Base Salary (Monthly)]]&gt;=145000,52684,35103))</f>
        <v>35103</v>
      </c>
      <c r="U367" s="7">
        <f>Payroll_Data_Analysis[[#This Row],[Annual KPI Bonus Reserve]]+Payroll_Data_Analysis[[#This Row],[Vacation Reserve]]+Payroll_Data_Analysis[[#This Row],[11-Month Salary]]</f>
        <v>1156509.3515358362</v>
      </c>
      <c r="V367" s="7">
        <f>Payroll_Data_Analysis[[#This Row],[Payroll Taxes (KPI Bonus)]]+Payroll_Data_Analysis[[#This Row],[Payroll Taxes (Vacation)]]+Payroll_Data_Analysis[[#This Row],[Payroll Taxes (Salary)]]</f>
        <v>349265.82416382252</v>
      </c>
      <c r="W367" s="13">
        <f>Payroll_Data_Analysis[[#This Row],[Total Payroll]]+Payroll_Data_Analysis[[#This Row],[Total Payroll Taxes]]</f>
        <v>1505775.1756996587</v>
      </c>
    </row>
    <row r="368" spans="1:23">
      <c r="A368" s="11" t="s">
        <v>664</v>
      </c>
      <c r="B368" s="5" t="s">
        <v>371</v>
      </c>
      <c r="C368" s="5" t="s">
        <v>705</v>
      </c>
      <c r="D368" s="28" t="str">
        <f>VLOOKUP(Payroll_Data_Analysis[[#This Row],[Position]],Position_Map!$A$2:$B$58,2,FALSE)</f>
        <v>Professional</v>
      </c>
      <c r="E368" s="6">
        <v>1</v>
      </c>
      <c r="F368" s="7">
        <v>64000</v>
      </c>
      <c r="G368" s="7">
        <v>35000</v>
      </c>
      <c r="H368" s="7"/>
      <c r="I368" s="7">
        <f>dataset!$F368-dataset!$J368-dataset!$G368-dataset!$H368</f>
        <v>26200</v>
      </c>
      <c r="J368" s="7">
        <f>dataset!$G368*0.08</f>
        <v>2800</v>
      </c>
      <c r="K368" s="7">
        <f>dataset!$F368*12</f>
        <v>768000</v>
      </c>
      <c r="L368" s="12">
        <f>IF(dataset!$G368&gt;=200000,38%,IF(dataset!$G368&lt;=145000,12.3%,))</f>
        <v>0.12300000000000001</v>
      </c>
      <c r="M368" s="7">
        <f>dataset!$G368*L369*12</f>
        <v>51660</v>
      </c>
      <c r="N36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68" s="7">
        <f>dataset!$K368+dataset!$M368</f>
        <v>819660</v>
      </c>
      <c r="P368" s="7">
        <f>Payroll_Data_Analysis[[#This Row],[Annual Salary + KPI Bonus]]/12/29.3*31</f>
        <v>72268.088737201353</v>
      </c>
      <c r="Q368" s="7">
        <f>IF(Payroll_Data_Analysis[[#This Row],[Vacation Reserve]]&lt;=2979000,Payroll_Data_Analysis[[#This Row],[Vacation Reserve]]*0.302,2979000*0.302+(Payroll_Data_Analysis[[#This Row],[Vacation Reserve]]-2979000)*0.151)</f>
        <v>21824.96279863481</v>
      </c>
      <c r="R368" s="7">
        <f>Payroll_Data_Analysis[[#This Row],[Monthly Salary]]*11</f>
        <v>704000</v>
      </c>
      <c r="S368" s="7">
        <f>IF(Payroll_Data_Analysis[[#This Row],[11-Month Salary]]&lt;=2979000,Payroll_Data_Analysis[[#This Row],[11-Month Salary]]*0.302,2979000*0.302+(Payroll_Data_Analysis[[#This Row],[11-Month Salary]]-2979000)*0.151)</f>
        <v>212608</v>
      </c>
      <c r="T368" s="7">
        <f>IF(Payroll_Data_Analysis[[#This Row],[Base Salary (Monthly)]]&gt;=200000,69507,IF(Payroll_Data_Analysis[[#This Row],[Base Salary (Monthly)]]&gt;=145000,52684,35103))</f>
        <v>35103</v>
      </c>
      <c r="U368" s="7">
        <f>Payroll_Data_Analysis[[#This Row],[Annual KPI Bonus Reserve]]+Payroll_Data_Analysis[[#This Row],[Vacation Reserve]]+Payroll_Data_Analysis[[#This Row],[11-Month Salary]]</f>
        <v>827928.08873720141</v>
      </c>
      <c r="V368" s="7">
        <f>Payroll_Data_Analysis[[#This Row],[Payroll Taxes (KPI Bonus)]]+Payroll_Data_Analysis[[#This Row],[Payroll Taxes (Vacation)]]+Payroll_Data_Analysis[[#This Row],[Payroll Taxes (Salary)]]</f>
        <v>250034.28279863481</v>
      </c>
      <c r="W368" s="13">
        <f>Payroll_Data_Analysis[[#This Row],[Total Payroll]]+Payroll_Data_Analysis[[#This Row],[Total Payroll Taxes]]</f>
        <v>1077962.3715358363</v>
      </c>
    </row>
    <row r="369" spans="1:23">
      <c r="A369" s="11" t="s">
        <v>664</v>
      </c>
      <c r="B369" s="5" t="s">
        <v>372</v>
      </c>
      <c r="C369" s="5" t="s">
        <v>733</v>
      </c>
      <c r="D369" s="28" t="str">
        <f>VLOOKUP(Payroll_Data_Analysis[[#This Row],[Position]],Position_Map!$A$2:$B$58,2,FALSE)</f>
        <v>Facilities</v>
      </c>
      <c r="E369" s="6">
        <v>1</v>
      </c>
      <c r="F369" s="7">
        <v>46000</v>
      </c>
      <c r="G369" s="7">
        <v>35000</v>
      </c>
      <c r="H369" s="7"/>
      <c r="I369" s="7">
        <f>dataset!$F369-dataset!$J369-dataset!$G369-dataset!$H369</f>
        <v>8200</v>
      </c>
      <c r="J369" s="7">
        <f>dataset!$G369*0.08</f>
        <v>2800</v>
      </c>
      <c r="K369" s="7">
        <f>dataset!$F369*12</f>
        <v>552000</v>
      </c>
      <c r="L369" s="12">
        <f>IF(dataset!$G369&gt;=200000,38%,IF(dataset!$G369&lt;=145000,12.3%,))</f>
        <v>0.12300000000000001</v>
      </c>
      <c r="M369" s="7">
        <f>dataset!$G369*L370*12</f>
        <v>51660</v>
      </c>
      <c r="N36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69" s="7">
        <f>dataset!$K369+dataset!$M369</f>
        <v>603660</v>
      </c>
      <c r="P369" s="7">
        <f>Payroll_Data_Analysis[[#This Row],[Annual Salary + KPI Bonus]]/12/29.3*31</f>
        <v>53223.720136518765</v>
      </c>
      <c r="Q36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69" s="7">
        <f>Payroll_Data_Analysis[[#This Row],[Monthly Salary]]*11</f>
        <v>506000</v>
      </c>
      <c r="S36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69" s="7">
        <f>IF(Payroll_Data_Analysis[[#This Row],[Base Salary (Monthly)]]&gt;=200000,69507,IF(Payroll_Data_Analysis[[#This Row],[Base Salary (Monthly)]]&gt;=145000,52684,35103))</f>
        <v>35103</v>
      </c>
      <c r="U369" s="7">
        <f>Payroll_Data_Analysis[[#This Row],[Annual KPI Bonus Reserve]]+Payroll_Data_Analysis[[#This Row],[Vacation Reserve]]+Payroll_Data_Analysis[[#This Row],[11-Month Salary]]</f>
        <v>610883.72013651882</v>
      </c>
      <c r="V369" s="7">
        <f>Payroll_Data_Analysis[[#This Row],[Payroll Taxes (KPI Bonus)]]+Payroll_Data_Analysis[[#This Row],[Payroll Taxes (Vacation)]]+Payroll_Data_Analysis[[#This Row],[Payroll Taxes (Salary)]]</f>
        <v>184486.88348122867</v>
      </c>
      <c r="W369" s="13">
        <f>Payroll_Data_Analysis[[#This Row],[Total Payroll]]+Payroll_Data_Analysis[[#This Row],[Total Payroll Taxes]]</f>
        <v>795370.60361774755</v>
      </c>
    </row>
    <row r="370" spans="1:23">
      <c r="A370" s="11" t="s">
        <v>664</v>
      </c>
      <c r="B370" s="5" t="s">
        <v>373</v>
      </c>
      <c r="C370" s="5" t="s">
        <v>733</v>
      </c>
      <c r="D370" s="28" t="str">
        <f>VLOOKUP(Payroll_Data_Analysis[[#This Row],[Position]],Position_Map!$A$2:$B$58,2,FALSE)</f>
        <v>Facilities</v>
      </c>
      <c r="E370" s="6">
        <v>1</v>
      </c>
      <c r="F370" s="7">
        <v>57800</v>
      </c>
      <c r="G370" s="7">
        <v>35000</v>
      </c>
      <c r="H370" s="7"/>
      <c r="I370" s="7">
        <f>dataset!$F370-dataset!$J370-dataset!$G370-dataset!$H370</f>
        <v>20000</v>
      </c>
      <c r="J370" s="7">
        <f>dataset!$G370*0.08</f>
        <v>2800</v>
      </c>
      <c r="K370" s="7">
        <f>dataset!$F370*12</f>
        <v>693600</v>
      </c>
      <c r="L370" s="12">
        <f>IF(dataset!$G370&gt;=200000,38%,IF(dataset!$G370&lt;=145000,12.3%,))</f>
        <v>0.12300000000000001</v>
      </c>
      <c r="M370" s="7">
        <f>dataset!$G370*L371*12</f>
        <v>51660</v>
      </c>
      <c r="N37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0" s="7">
        <f>dataset!$K370+dataset!$M370</f>
        <v>745260</v>
      </c>
      <c r="P370" s="7">
        <f>Payroll_Data_Analysis[[#This Row],[Annual Salary + KPI Bonus]]/12/29.3*31</f>
        <v>65708.361774744029</v>
      </c>
      <c r="Q370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70" s="7">
        <f>Payroll_Data_Analysis[[#This Row],[Monthly Salary]]*11</f>
        <v>635800</v>
      </c>
      <c r="S370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70" s="7">
        <f>IF(Payroll_Data_Analysis[[#This Row],[Base Salary (Monthly)]]&gt;=200000,69507,IF(Payroll_Data_Analysis[[#This Row],[Base Salary (Monthly)]]&gt;=145000,52684,35103))</f>
        <v>35103</v>
      </c>
      <c r="U370" s="7">
        <f>Payroll_Data_Analysis[[#This Row],[Annual KPI Bonus Reserve]]+Payroll_Data_Analysis[[#This Row],[Vacation Reserve]]+Payroll_Data_Analysis[[#This Row],[11-Month Salary]]</f>
        <v>753168.361774744</v>
      </c>
      <c r="V370" s="7">
        <f>Payroll_Data_Analysis[[#This Row],[Payroll Taxes (KPI Bonus)]]+Payroll_Data_Analysis[[#This Row],[Payroll Taxes (Vacation)]]+Payroll_Data_Analysis[[#This Row],[Payroll Taxes (Salary)]]</f>
        <v>227456.8452559727</v>
      </c>
      <c r="W370" s="13">
        <f>Payroll_Data_Analysis[[#This Row],[Total Payroll]]+Payroll_Data_Analysis[[#This Row],[Total Payroll Taxes]]</f>
        <v>980625.2070307167</v>
      </c>
    </row>
    <row r="371" spans="1:23">
      <c r="A371" s="11" t="s">
        <v>664</v>
      </c>
      <c r="B371" s="5" t="s">
        <v>374</v>
      </c>
      <c r="C371" s="5" t="s">
        <v>733</v>
      </c>
      <c r="D371" s="28" t="str">
        <f>VLOOKUP(Payroll_Data_Analysis[[#This Row],[Position]],Position_Map!$A$2:$B$58,2,FALSE)</f>
        <v>Facilities</v>
      </c>
      <c r="E371" s="6">
        <v>1</v>
      </c>
      <c r="F371" s="7">
        <v>57800</v>
      </c>
      <c r="G371" s="7">
        <v>35000</v>
      </c>
      <c r="H371" s="7"/>
      <c r="I371" s="7">
        <f>dataset!$F371-dataset!$J371-dataset!$G371-dataset!$H371</f>
        <v>20000</v>
      </c>
      <c r="J371" s="7">
        <f>dataset!$G371*0.08</f>
        <v>2800</v>
      </c>
      <c r="K371" s="7">
        <f>dataset!$F371*12</f>
        <v>693600</v>
      </c>
      <c r="L371" s="12">
        <f>IF(dataset!$G371&gt;=200000,38%,IF(dataset!$G371&lt;=145000,12.3%,))</f>
        <v>0.12300000000000001</v>
      </c>
      <c r="M371" s="7">
        <f>dataset!$G371*L372*12</f>
        <v>51660</v>
      </c>
      <c r="N37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1" s="7">
        <f>dataset!$K371+dataset!$M371</f>
        <v>745260</v>
      </c>
      <c r="P371" s="7">
        <f>Payroll_Data_Analysis[[#This Row],[Annual Salary + KPI Bonus]]/12/29.3*31</f>
        <v>65708.361774744029</v>
      </c>
      <c r="Q371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71" s="7">
        <f>Payroll_Data_Analysis[[#This Row],[Monthly Salary]]*11</f>
        <v>635800</v>
      </c>
      <c r="S371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71" s="7">
        <f>IF(Payroll_Data_Analysis[[#This Row],[Base Salary (Monthly)]]&gt;=200000,69507,IF(Payroll_Data_Analysis[[#This Row],[Base Salary (Monthly)]]&gt;=145000,52684,35103))</f>
        <v>35103</v>
      </c>
      <c r="U371" s="7">
        <f>Payroll_Data_Analysis[[#This Row],[Annual KPI Bonus Reserve]]+Payroll_Data_Analysis[[#This Row],[Vacation Reserve]]+Payroll_Data_Analysis[[#This Row],[11-Month Salary]]</f>
        <v>753168.361774744</v>
      </c>
      <c r="V371" s="7">
        <f>Payroll_Data_Analysis[[#This Row],[Payroll Taxes (KPI Bonus)]]+Payroll_Data_Analysis[[#This Row],[Payroll Taxes (Vacation)]]+Payroll_Data_Analysis[[#This Row],[Payroll Taxes (Salary)]]</f>
        <v>227456.8452559727</v>
      </c>
      <c r="W371" s="13">
        <f>Payroll_Data_Analysis[[#This Row],[Total Payroll]]+Payroll_Data_Analysis[[#This Row],[Total Payroll Taxes]]</f>
        <v>980625.2070307167</v>
      </c>
    </row>
    <row r="372" spans="1:23">
      <c r="A372" s="11" t="s">
        <v>664</v>
      </c>
      <c r="B372" s="5" t="s">
        <v>375</v>
      </c>
      <c r="C372" s="5" t="s">
        <v>733</v>
      </c>
      <c r="D372" s="28" t="str">
        <f>VLOOKUP(Payroll_Data_Analysis[[#This Row],[Position]],Position_Map!$A$2:$B$58,2,FALSE)</f>
        <v>Facilities</v>
      </c>
      <c r="E372" s="6">
        <v>1</v>
      </c>
      <c r="F372" s="7">
        <v>57800</v>
      </c>
      <c r="G372" s="7">
        <v>35000</v>
      </c>
      <c r="H372" s="7"/>
      <c r="I372" s="7">
        <f>dataset!$F372-dataset!$J372-dataset!$G372-dataset!$H372</f>
        <v>20000</v>
      </c>
      <c r="J372" s="7">
        <f>dataset!$G372*0.08</f>
        <v>2800</v>
      </c>
      <c r="K372" s="7">
        <f>dataset!$F372*12</f>
        <v>693600</v>
      </c>
      <c r="L372" s="12">
        <f>IF(dataset!$G372&gt;=200000,38%,IF(dataset!$G372&lt;=145000,12.3%,))</f>
        <v>0.12300000000000001</v>
      </c>
      <c r="M372" s="7">
        <f>dataset!$G372*L373*12</f>
        <v>51660</v>
      </c>
      <c r="N37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2" s="7">
        <f>dataset!$K372+dataset!$M372</f>
        <v>745260</v>
      </c>
      <c r="P372" s="7">
        <f>Payroll_Data_Analysis[[#This Row],[Annual Salary + KPI Bonus]]/12/29.3*31</f>
        <v>65708.361774744029</v>
      </c>
      <c r="Q372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72" s="7">
        <f>Payroll_Data_Analysis[[#This Row],[Monthly Salary]]*11</f>
        <v>635800</v>
      </c>
      <c r="S372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72" s="7">
        <f>IF(Payroll_Data_Analysis[[#This Row],[Base Salary (Monthly)]]&gt;=200000,69507,IF(Payroll_Data_Analysis[[#This Row],[Base Salary (Monthly)]]&gt;=145000,52684,35103))</f>
        <v>35103</v>
      </c>
      <c r="U372" s="7">
        <f>Payroll_Data_Analysis[[#This Row],[Annual KPI Bonus Reserve]]+Payroll_Data_Analysis[[#This Row],[Vacation Reserve]]+Payroll_Data_Analysis[[#This Row],[11-Month Salary]]</f>
        <v>753168.361774744</v>
      </c>
      <c r="V372" s="7">
        <f>Payroll_Data_Analysis[[#This Row],[Payroll Taxes (KPI Bonus)]]+Payroll_Data_Analysis[[#This Row],[Payroll Taxes (Vacation)]]+Payroll_Data_Analysis[[#This Row],[Payroll Taxes (Salary)]]</f>
        <v>227456.8452559727</v>
      </c>
      <c r="W372" s="13">
        <f>Payroll_Data_Analysis[[#This Row],[Total Payroll]]+Payroll_Data_Analysis[[#This Row],[Total Payroll Taxes]]</f>
        <v>980625.2070307167</v>
      </c>
    </row>
    <row r="373" spans="1:23">
      <c r="A373" s="11" t="s">
        <v>664</v>
      </c>
      <c r="B373" s="5" t="s">
        <v>376</v>
      </c>
      <c r="C373" s="5" t="s">
        <v>733</v>
      </c>
      <c r="D373" s="28" t="str">
        <f>VLOOKUP(Payroll_Data_Analysis[[#This Row],[Position]],Position_Map!$A$2:$B$58,2,FALSE)</f>
        <v>Facilities</v>
      </c>
      <c r="E373" s="6">
        <v>1</v>
      </c>
      <c r="F373" s="7">
        <v>57800</v>
      </c>
      <c r="G373" s="7">
        <v>35000</v>
      </c>
      <c r="H373" s="7"/>
      <c r="I373" s="7">
        <f>dataset!$F373-dataset!$J373-dataset!$G373-dataset!$H373</f>
        <v>20000</v>
      </c>
      <c r="J373" s="7">
        <f>dataset!$G373*0.08</f>
        <v>2800</v>
      </c>
      <c r="K373" s="7">
        <f>dataset!$F373*12</f>
        <v>693600</v>
      </c>
      <c r="L373" s="12">
        <f>IF(dataset!$G373&gt;=200000,38%,IF(dataset!$G373&lt;=145000,12.3%,))</f>
        <v>0.12300000000000001</v>
      </c>
      <c r="M373" s="7">
        <f>dataset!$G373*L374*12</f>
        <v>51660</v>
      </c>
      <c r="N37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3" s="7">
        <f>dataset!$K373+dataset!$M373</f>
        <v>745260</v>
      </c>
      <c r="P373" s="7">
        <f>Payroll_Data_Analysis[[#This Row],[Annual Salary + KPI Bonus]]/12/29.3*31</f>
        <v>65708.361774744029</v>
      </c>
      <c r="Q373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73" s="7">
        <f>Payroll_Data_Analysis[[#This Row],[Monthly Salary]]*11</f>
        <v>635800</v>
      </c>
      <c r="S373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73" s="7">
        <f>IF(Payroll_Data_Analysis[[#This Row],[Base Salary (Monthly)]]&gt;=200000,69507,IF(Payroll_Data_Analysis[[#This Row],[Base Salary (Monthly)]]&gt;=145000,52684,35103))</f>
        <v>35103</v>
      </c>
      <c r="U373" s="7">
        <f>Payroll_Data_Analysis[[#This Row],[Annual KPI Bonus Reserve]]+Payroll_Data_Analysis[[#This Row],[Vacation Reserve]]+Payroll_Data_Analysis[[#This Row],[11-Month Salary]]</f>
        <v>753168.361774744</v>
      </c>
      <c r="V373" s="7">
        <f>Payroll_Data_Analysis[[#This Row],[Payroll Taxes (KPI Bonus)]]+Payroll_Data_Analysis[[#This Row],[Payroll Taxes (Vacation)]]+Payroll_Data_Analysis[[#This Row],[Payroll Taxes (Salary)]]</f>
        <v>227456.8452559727</v>
      </c>
      <c r="W373" s="13">
        <f>Payroll_Data_Analysis[[#This Row],[Total Payroll]]+Payroll_Data_Analysis[[#This Row],[Total Payroll Taxes]]</f>
        <v>980625.2070307167</v>
      </c>
    </row>
    <row r="374" spans="1:23">
      <c r="A374" s="11" t="s">
        <v>664</v>
      </c>
      <c r="B374" s="5" t="s">
        <v>377</v>
      </c>
      <c r="C374" s="5" t="s">
        <v>733</v>
      </c>
      <c r="D374" s="28" t="str">
        <f>VLOOKUP(Payroll_Data_Analysis[[#This Row],[Position]],Position_Map!$A$2:$B$58,2,FALSE)</f>
        <v>Facilities</v>
      </c>
      <c r="E374" s="6">
        <v>1</v>
      </c>
      <c r="F374" s="7">
        <v>57800</v>
      </c>
      <c r="G374" s="7">
        <v>35000</v>
      </c>
      <c r="H374" s="7"/>
      <c r="I374" s="7">
        <f>dataset!$F374-dataset!$J374-dataset!$G374-dataset!$H374</f>
        <v>20000</v>
      </c>
      <c r="J374" s="7">
        <f>dataset!$G374*0.08</f>
        <v>2800</v>
      </c>
      <c r="K374" s="7">
        <f>dataset!$F374*12</f>
        <v>693600</v>
      </c>
      <c r="L374" s="12">
        <f>IF(dataset!$G374&gt;=200000,38%,IF(dataset!$G374&lt;=145000,12.3%,))</f>
        <v>0.12300000000000001</v>
      </c>
      <c r="M374" s="7">
        <f>dataset!$G374*L375*12</f>
        <v>51660</v>
      </c>
      <c r="N37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4" s="7">
        <f>dataset!$K374+dataset!$M374</f>
        <v>745260</v>
      </c>
      <c r="P374" s="7">
        <f>Payroll_Data_Analysis[[#This Row],[Annual Salary + KPI Bonus]]/12/29.3*31</f>
        <v>65708.361774744029</v>
      </c>
      <c r="Q374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374" s="7">
        <f>Payroll_Data_Analysis[[#This Row],[Monthly Salary]]*11</f>
        <v>635800</v>
      </c>
      <c r="S374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374" s="7">
        <f>IF(Payroll_Data_Analysis[[#This Row],[Base Salary (Monthly)]]&gt;=200000,69507,IF(Payroll_Data_Analysis[[#This Row],[Base Salary (Monthly)]]&gt;=145000,52684,35103))</f>
        <v>35103</v>
      </c>
      <c r="U374" s="7">
        <f>Payroll_Data_Analysis[[#This Row],[Annual KPI Bonus Reserve]]+Payroll_Data_Analysis[[#This Row],[Vacation Reserve]]+Payroll_Data_Analysis[[#This Row],[11-Month Salary]]</f>
        <v>753168.361774744</v>
      </c>
      <c r="V374" s="7">
        <f>Payroll_Data_Analysis[[#This Row],[Payroll Taxes (KPI Bonus)]]+Payroll_Data_Analysis[[#This Row],[Payroll Taxes (Vacation)]]+Payroll_Data_Analysis[[#This Row],[Payroll Taxes (Salary)]]</f>
        <v>227456.8452559727</v>
      </c>
      <c r="W374" s="13">
        <f>Payroll_Data_Analysis[[#This Row],[Total Payroll]]+Payroll_Data_Analysis[[#This Row],[Total Payroll Taxes]]</f>
        <v>980625.2070307167</v>
      </c>
    </row>
    <row r="375" spans="1:23">
      <c r="A375" s="11" t="s">
        <v>664</v>
      </c>
      <c r="B375" s="5" t="s">
        <v>378</v>
      </c>
      <c r="C375" s="5" t="s">
        <v>733</v>
      </c>
      <c r="D375" s="28" t="str">
        <f>VLOOKUP(Payroll_Data_Analysis[[#This Row],[Position]],Position_Map!$A$2:$B$58,2,FALSE)</f>
        <v>Facilities</v>
      </c>
      <c r="E375" s="6">
        <v>1</v>
      </c>
      <c r="F375" s="7">
        <v>46000</v>
      </c>
      <c r="G375" s="7">
        <v>35000</v>
      </c>
      <c r="H375" s="7"/>
      <c r="I375" s="7">
        <f>dataset!$F375-dataset!$J375-dataset!$G375-dataset!$H375</f>
        <v>8200</v>
      </c>
      <c r="J375" s="7">
        <f>dataset!$G375*0.08</f>
        <v>2800</v>
      </c>
      <c r="K375" s="7">
        <f>dataset!$F375*12</f>
        <v>552000</v>
      </c>
      <c r="L375" s="12">
        <f>IF(dataset!$G375&gt;=200000,38%,IF(dataset!$G375&lt;=145000,12.3%,))</f>
        <v>0.12300000000000001</v>
      </c>
      <c r="M375" s="7">
        <f>dataset!$G375*L376*12</f>
        <v>51660</v>
      </c>
      <c r="N37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5" s="7">
        <f>dataset!$K375+dataset!$M375</f>
        <v>603660</v>
      </c>
      <c r="P375" s="7">
        <f>Payroll_Data_Analysis[[#This Row],[Annual Salary + KPI Bonus]]/12/29.3*31</f>
        <v>53223.720136518765</v>
      </c>
      <c r="Q37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75" s="7">
        <f>Payroll_Data_Analysis[[#This Row],[Monthly Salary]]*11</f>
        <v>506000</v>
      </c>
      <c r="S37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75" s="7">
        <f>IF(Payroll_Data_Analysis[[#This Row],[Base Salary (Monthly)]]&gt;=200000,69507,IF(Payroll_Data_Analysis[[#This Row],[Base Salary (Monthly)]]&gt;=145000,52684,35103))</f>
        <v>35103</v>
      </c>
      <c r="U375" s="7">
        <f>Payroll_Data_Analysis[[#This Row],[Annual KPI Bonus Reserve]]+Payroll_Data_Analysis[[#This Row],[Vacation Reserve]]+Payroll_Data_Analysis[[#This Row],[11-Month Salary]]</f>
        <v>610883.72013651882</v>
      </c>
      <c r="V375" s="7">
        <f>Payroll_Data_Analysis[[#This Row],[Payroll Taxes (KPI Bonus)]]+Payroll_Data_Analysis[[#This Row],[Payroll Taxes (Vacation)]]+Payroll_Data_Analysis[[#This Row],[Payroll Taxes (Salary)]]</f>
        <v>184486.88348122867</v>
      </c>
      <c r="W375" s="13">
        <f>Payroll_Data_Analysis[[#This Row],[Total Payroll]]+Payroll_Data_Analysis[[#This Row],[Total Payroll Taxes]]</f>
        <v>795370.60361774755</v>
      </c>
    </row>
    <row r="376" spans="1:23">
      <c r="A376" s="11" t="s">
        <v>664</v>
      </c>
      <c r="B376" s="5" t="s">
        <v>379</v>
      </c>
      <c r="C376" s="5" t="s">
        <v>733</v>
      </c>
      <c r="D376" s="28" t="str">
        <f>VLOOKUP(Payroll_Data_Analysis[[#This Row],[Position]],Position_Map!$A$2:$B$58,2,FALSE)</f>
        <v>Facilities</v>
      </c>
      <c r="E376" s="6">
        <v>1</v>
      </c>
      <c r="F376" s="7">
        <v>69000</v>
      </c>
      <c r="G376" s="7">
        <v>35000</v>
      </c>
      <c r="H376" s="7"/>
      <c r="I376" s="7">
        <f>dataset!$F376-dataset!$J376-dataset!$G376-dataset!$H376</f>
        <v>31200</v>
      </c>
      <c r="J376" s="7">
        <f>dataset!$G376*0.08</f>
        <v>2800</v>
      </c>
      <c r="K376" s="7">
        <f>dataset!$F376*12</f>
        <v>828000</v>
      </c>
      <c r="L376" s="12">
        <f>IF(dataset!$G376&gt;=200000,38%,IF(dataset!$G376&lt;=145000,12.3%,))</f>
        <v>0.12300000000000001</v>
      </c>
      <c r="M376" s="7">
        <f>dataset!$G376*L377*12</f>
        <v>51660</v>
      </c>
      <c r="N37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6" s="7">
        <f>dataset!$K376+dataset!$M376</f>
        <v>879660</v>
      </c>
      <c r="P376" s="7">
        <f>Payroll_Data_Analysis[[#This Row],[Annual Salary + KPI Bonus]]/12/29.3*31</f>
        <v>77558.191126279853</v>
      </c>
      <c r="Q376" s="7">
        <f>IF(Payroll_Data_Analysis[[#This Row],[Vacation Reserve]]&lt;=2979000,Payroll_Data_Analysis[[#This Row],[Vacation Reserve]]*0.302,2979000*0.302+(Payroll_Data_Analysis[[#This Row],[Vacation Reserve]]-2979000)*0.151)</f>
        <v>23422.573720136515</v>
      </c>
      <c r="R376" s="7">
        <f>Payroll_Data_Analysis[[#This Row],[Monthly Salary]]*11</f>
        <v>759000</v>
      </c>
      <c r="S376" s="7">
        <f>IF(Payroll_Data_Analysis[[#This Row],[11-Month Salary]]&lt;=2979000,Payroll_Data_Analysis[[#This Row],[11-Month Salary]]*0.302,2979000*0.302+(Payroll_Data_Analysis[[#This Row],[11-Month Salary]]-2979000)*0.151)</f>
        <v>229218</v>
      </c>
      <c r="T376" s="7">
        <f>IF(Payroll_Data_Analysis[[#This Row],[Base Salary (Monthly)]]&gt;=200000,69507,IF(Payroll_Data_Analysis[[#This Row],[Base Salary (Monthly)]]&gt;=145000,52684,35103))</f>
        <v>35103</v>
      </c>
      <c r="U376" s="7">
        <f>Payroll_Data_Analysis[[#This Row],[Annual KPI Bonus Reserve]]+Payroll_Data_Analysis[[#This Row],[Vacation Reserve]]+Payroll_Data_Analysis[[#This Row],[11-Month Salary]]</f>
        <v>888218.19112627988</v>
      </c>
      <c r="V376" s="7">
        <f>Payroll_Data_Analysis[[#This Row],[Payroll Taxes (KPI Bonus)]]+Payroll_Data_Analysis[[#This Row],[Payroll Taxes (Vacation)]]+Payroll_Data_Analysis[[#This Row],[Payroll Taxes (Salary)]]</f>
        <v>268241.89372013649</v>
      </c>
      <c r="W376" s="13">
        <f>Payroll_Data_Analysis[[#This Row],[Total Payroll]]+Payroll_Data_Analysis[[#This Row],[Total Payroll Taxes]]</f>
        <v>1156460.0848464165</v>
      </c>
    </row>
    <row r="377" spans="1:23">
      <c r="A377" s="11" t="s">
        <v>664</v>
      </c>
      <c r="B377" s="5" t="s">
        <v>380</v>
      </c>
      <c r="C377" s="5" t="s">
        <v>733</v>
      </c>
      <c r="D377" s="28" t="str">
        <f>VLOOKUP(Payroll_Data_Analysis[[#This Row],[Position]],Position_Map!$A$2:$B$58,2,FALSE)</f>
        <v>Facilities</v>
      </c>
      <c r="E377" s="6">
        <v>1</v>
      </c>
      <c r="F377" s="7">
        <v>69000</v>
      </c>
      <c r="G377" s="7">
        <v>35000</v>
      </c>
      <c r="H377" s="7"/>
      <c r="I377" s="7">
        <f>dataset!$F377-dataset!$J377-dataset!$G377-dataset!$H377</f>
        <v>31200</v>
      </c>
      <c r="J377" s="7">
        <f>dataset!$G377*0.08</f>
        <v>2800</v>
      </c>
      <c r="K377" s="7">
        <f>dataset!$F377*12</f>
        <v>828000</v>
      </c>
      <c r="L377" s="12">
        <f>IF(dataset!$G377&gt;=200000,38%,IF(dataset!$G377&lt;=145000,12.3%,))</f>
        <v>0.12300000000000001</v>
      </c>
      <c r="M377" s="7">
        <f>dataset!$G377*L378*12</f>
        <v>51660</v>
      </c>
      <c r="N37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7" s="7">
        <f>dataset!$K377+dataset!$M377</f>
        <v>879660</v>
      </c>
      <c r="P377" s="7">
        <f>Payroll_Data_Analysis[[#This Row],[Annual Salary + KPI Bonus]]/12/29.3*31</f>
        <v>77558.191126279853</v>
      </c>
      <c r="Q377" s="7">
        <f>IF(Payroll_Data_Analysis[[#This Row],[Vacation Reserve]]&lt;=2979000,Payroll_Data_Analysis[[#This Row],[Vacation Reserve]]*0.302,2979000*0.302+(Payroll_Data_Analysis[[#This Row],[Vacation Reserve]]-2979000)*0.151)</f>
        <v>23422.573720136515</v>
      </c>
      <c r="R377" s="7">
        <f>Payroll_Data_Analysis[[#This Row],[Monthly Salary]]*11</f>
        <v>759000</v>
      </c>
      <c r="S377" s="7">
        <f>IF(Payroll_Data_Analysis[[#This Row],[11-Month Salary]]&lt;=2979000,Payroll_Data_Analysis[[#This Row],[11-Month Salary]]*0.302,2979000*0.302+(Payroll_Data_Analysis[[#This Row],[11-Month Salary]]-2979000)*0.151)</f>
        <v>229218</v>
      </c>
      <c r="T377" s="7">
        <f>IF(Payroll_Data_Analysis[[#This Row],[Base Salary (Monthly)]]&gt;=200000,69507,IF(Payroll_Data_Analysis[[#This Row],[Base Salary (Monthly)]]&gt;=145000,52684,35103))</f>
        <v>35103</v>
      </c>
      <c r="U377" s="7">
        <f>Payroll_Data_Analysis[[#This Row],[Annual KPI Bonus Reserve]]+Payroll_Data_Analysis[[#This Row],[Vacation Reserve]]+Payroll_Data_Analysis[[#This Row],[11-Month Salary]]</f>
        <v>888218.19112627988</v>
      </c>
      <c r="V377" s="7">
        <f>Payroll_Data_Analysis[[#This Row],[Payroll Taxes (KPI Bonus)]]+Payroll_Data_Analysis[[#This Row],[Payroll Taxes (Vacation)]]+Payroll_Data_Analysis[[#This Row],[Payroll Taxes (Salary)]]</f>
        <v>268241.89372013649</v>
      </c>
      <c r="W377" s="13">
        <f>Payroll_Data_Analysis[[#This Row],[Total Payroll]]+Payroll_Data_Analysis[[#This Row],[Total Payroll Taxes]]</f>
        <v>1156460.0848464165</v>
      </c>
    </row>
    <row r="378" spans="1:23">
      <c r="A378" s="11" t="s">
        <v>664</v>
      </c>
      <c r="B378" s="5" t="s">
        <v>381</v>
      </c>
      <c r="C378" s="5" t="s">
        <v>733</v>
      </c>
      <c r="D378" s="28" t="str">
        <f>VLOOKUP(Payroll_Data_Analysis[[#This Row],[Position]],Position_Map!$A$2:$B$58,2,FALSE)</f>
        <v>Facilities</v>
      </c>
      <c r="E378" s="6">
        <v>1</v>
      </c>
      <c r="F378" s="7">
        <v>46000</v>
      </c>
      <c r="G378" s="7">
        <v>35000</v>
      </c>
      <c r="H378" s="7"/>
      <c r="I378" s="7">
        <f>dataset!$F378-dataset!$J378-dataset!$G378-dataset!$H378</f>
        <v>8200</v>
      </c>
      <c r="J378" s="7">
        <f>dataset!$G378*0.08</f>
        <v>2800</v>
      </c>
      <c r="K378" s="7">
        <f>dataset!$F378*12</f>
        <v>552000</v>
      </c>
      <c r="L378" s="12">
        <f>IF(dataset!$G378&gt;=200000,38%,IF(dataset!$G378&lt;=145000,12.3%,))</f>
        <v>0.12300000000000001</v>
      </c>
      <c r="M378" s="7">
        <f>dataset!$G378*L379*12</f>
        <v>51660</v>
      </c>
      <c r="N37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8" s="7">
        <f>dataset!$K378+dataset!$M378</f>
        <v>603660</v>
      </c>
      <c r="P378" s="7">
        <f>Payroll_Data_Analysis[[#This Row],[Annual Salary + KPI Bonus]]/12/29.3*31</f>
        <v>53223.720136518765</v>
      </c>
      <c r="Q37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78" s="7">
        <f>Payroll_Data_Analysis[[#This Row],[Monthly Salary]]*11</f>
        <v>506000</v>
      </c>
      <c r="S37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78" s="7">
        <f>IF(Payroll_Data_Analysis[[#This Row],[Base Salary (Monthly)]]&gt;=200000,69507,IF(Payroll_Data_Analysis[[#This Row],[Base Salary (Monthly)]]&gt;=145000,52684,35103))</f>
        <v>35103</v>
      </c>
      <c r="U378" s="7">
        <f>Payroll_Data_Analysis[[#This Row],[Annual KPI Bonus Reserve]]+Payroll_Data_Analysis[[#This Row],[Vacation Reserve]]+Payroll_Data_Analysis[[#This Row],[11-Month Salary]]</f>
        <v>610883.72013651882</v>
      </c>
      <c r="V378" s="7">
        <f>Payroll_Data_Analysis[[#This Row],[Payroll Taxes (KPI Bonus)]]+Payroll_Data_Analysis[[#This Row],[Payroll Taxes (Vacation)]]+Payroll_Data_Analysis[[#This Row],[Payroll Taxes (Salary)]]</f>
        <v>184486.88348122867</v>
      </c>
      <c r="W378" s="13">
        <f>Payroll_Data_Analysis[[#This Row],[Total Payroll]]+Payroll_Data_Analysis[[#This Row],[Total Payroll Taxes]]</f>
        <v>795370.60361774755</v>
      </c>
    </row>
    <row r="379" spans="1:23">
      <c r="A379" s="11" t="s">
        <v>664</v>
      </c>
      <c r="B379" s="5" t="s">
        <v>382</v>
      </c>
      <c r="C379" s="5" t="s">
        <v>733</v>
      </c>
      <c r="D379" s="28" t="str">
        <f>VLOOKUP(Payroll_Data_Analysis[[#This Row],[Position]],Position_Map!$A$2:$B$58,2,FALSE)</f>
        <v>Facilities</v>
      </c>
      <c r="E379" s="6">
        <v>1</v>
      </c>
      <c r="F379" s="7">
        <v>46000</v>
      </c>
      <c r="G379" s="7">
        <v>35000</v>
      </c>
      <c r="H379" s="7"/>
      <c r="I379" s="7">
        <f>dataset!$F379-dataset!$J379-dataset!$G379-dataset!$H379</f>
        <v>8200</v>
      </c>
      <c r="J379" s="7">
        <f>dataset!$G379*0.08</f>
        <v>2800</v>
      </c>
      <c r="K379" s="7">
        <f>dataset!$F379*12</f>
        <v>552000</v>
      </c>
      <c r="L379" s="12">
        <f>IF(dataset!$G379&gt;=200000,38%,IF(dataset!$G379&lt;=145000,12.3%,))</f>
        <v>0.12300000000000001</v>
      </c>
      <c r="M379" s="7">
        <f>dataset!$G379*L380*12</f>
        <v>51660</v>
      </c>
      <c r="N37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79" s="7">
        <f>dataset!$K379+dataset!$M379</f>
        <v>603660</v>
      </c>
      <c r="P379" s="7">
        <f>Payroll_Data_Analysis[[#This Row],[Annual Salary + KPI Bonus]]/12/29.3*31</f>
        <v>53223.720136518765</v>
      </c>
      <c r="Q37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79" s="7">
        <f>Payroll_Data_Analysis[[#This Row],[Monthly Salary]]*11</f>
        <v>506000</v>
      </c>
      <c r="S37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79" s="7">
        <f>IF(Payroll_Data_Analysis[[#This Row],[Base Salary (Monthly)]]&gt;=200000,69507,IF(Payroll_Data_Analysis[[#This Row],[Base Salary (Monthly)]]&gt;=145000,52684,35103))</f>
        <v>35103</v>
      </c>
      <c r="U379" s="7">
        <f>Payroll_Data_Analysis[[#This Row],[Annual KPI Bonus Reserve]]+Payroll_Data_Analysis[[#This Row],[Vacation Reserve]]+Payroll_Data_Analysis[[#This Row],[11-Month Salary]]</f>
        <v>610883.72013651882</v>
      </c>
      <c r="V379" s="7">
        <f>Payroll_Data_Analysis[[#This Row],[Payroll Taxes (KPI Bonus)]]+Payroll_Data_Analysis[[#This Row],[Payroll Taxes (Vacation)]]+Payroll_Data_Analysis[[#This Row],[Payroll Taxes (Salary)]]</f>
        <v>184486.88348122867</v>
      </c>
      <c r="W379" s="13">
        <f>Payroll_Data_Analysis[[#This Row],[Total Payroll]]+Payroll_Data_Analysis[[#This Row],[Total Payroll Taxes]]</f>
        <v>795370.60361774755</v>
      </c>
    </row>
    <row r="380" spans="1:23">
      <c r="A380" s="11" t="s">
        <v>664</v>
      </c>
      <c r="B380" s="5" t="s">
        <v>383</v>
      </c>
      <c r="C380" s="5" t="s">
        <v>733</v>
      </c>
      <c r="D380" s="28" t="str">
        <f>VLOOKUP(Payroll_Data_Analysis[[#This Row],[Position]],Position_Map!$A$2:$B$58,2,FALSE)</f>
        <v>Facilities</v>
      </c>
      <c r="E380" s="6">
        <v>1</v>
      </c>
      <c r="F380" s="7">
        <v>46000</v>
      </c>
      <c r="G380" s="7">
        <v>35000</v>
      </c>
      <c r="H380" s="7"/>
      <c r="I380" s="7">
        <f>dataset!$F380-dataset!$J380-dataset!$G380-dataset!$H380</f>
        <v>8200</v>
      </c>
      <c r="J380" s="7">
        <f>dataset!$G380*0.08</f>
        <v>2800</v>
      </c>
      <c r="K380" s="7">
        <f>dataset!$F380*12</f>
        <v>552000</v>
      </c>
      <c r="L380" s="12">
        <f>IF(dataset!$G380&gt;=200000,38%,IF(dataset!$G380&lt;=145000,12.3%,))</f>
        <v>0.12300000000000001</v>
      </c>
      <c r="M380" s="7">
        <f>dataset!$G380*L381*12</f>
        <v>51660</v>
      </c>
      <c r="N38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0" s="7">
        <f>dataset!$K380+dataset!$M380</f>
        <v>603660</v>
      </c>
      <c r="P380" s="7">
        <f>Payroll_Data_Analysis[[#This Row],[Annual Salary + KPI Bonus]]/12/29.3*31</f>
        <v>53223.720136518765</v>
      </c>
      <c r="Q38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0" s="7">
        <f>Payroll_Data_Analysis[[#This Row],[Monthly Salary]]*11</f>
        <v>506000</v>
      </c>
      <c r="S38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0" s="7">
        <f>IF(Payroll_Data_Analysis[[#This Row],[Base Salary (Monthly)]]&gt;=200000,69507,IF(Payroll_Data_Analysis[[#This Row],[Base Salary (Monthly)]]&gt;=145000,52684,35103))</f>
        <v>35103</v>
      </c>
      <c r="U380" s="7">
        <f>Payroll_Data_Analysis[[#This Row],[Annual KPI Bonus Reserve]]+Payroll_Data_Analysis[[#This Row],[Vacation Reserve]]+Payroll_Data_Analysis[[#This Row],[11-Month Salary]]</f>
        <v>610883.72013651882</v>
      </c>
      <c r="V380" s="7">
        <f>Payroll_Data_Analysis[[#This Row],[Payroll Taxes (KPI Bonus)]]+Payroll_Data_Analysis[[#This Row],[Payroll Taxes (Vacation)]]+Payroll_Data_Analysis[[#This Row],[Payroll Taxes (Salary)]]</f>
        <v>184486.88348122867</v>
      </c>
      <c r="W380" s="13">
        <f>Payroll_Data_Analysis[[#This Row],[Total Payroll]]+Payroll_Data_Analysis[[#This Row],[Total Payroll Taxes]]</f>
        <v>795370.60361774755</v>
      </c>
    </row>
    <row r="381" spans="1:23">
      <c r="A381" s="11" t="s">
        <v>664</v>
      </c>
      <c r="B381" s="5" t="s">
        <v>384</v>
      </c>
      <c r="C381" s="5" t="s">
        <v>733</v>
      </c>
      <c r="D381" s="28" t="str">
        <f>VLOOKUP(Payroll_Data_Analysis[[#This Row],[Position]],Position_Map!$A$2:$B$58,2,FALSE)</f>
        <v>Facilities</v>
      </c>
      <c r="E381" s="6">
        <v>1</v>
      </c>
      <c r="F381" s="7">
        <v>46000</v>
      </c>
      <c r="G381" s="7">
        <v>35000</v>
      </c>
      <c r="H381" s="7"/>
      <c r="I381" s="7">
        <f>dataset!$F381-dataset!$J381-dataset!$G381-dataset!$H381</f>
        <v>8200</v>
      </c>
      <c r="J381" s="7">
        <f>dataset!$G381*0.08</f>
        <v>2800</v>
      </c>
      <c r="K381" s="7">
        <f>dataset!$F381*12</f>
        <v>552000</v>
      </c>
      <c r="L381" s="12">
        <f>IF(dataset!$G381&gt;=200000,38%,IF(dataset!$G381&lt;=145000,12.3%,))</f>
        <v>0.12300000000000001</v>
      </c>
      <c r="M381" s="7">
        <f>dataset!$G381*L382*12</f>
        <v>51660</v>
      </c>
      <c r="N38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1" s="7">
        <f>dataset!$K381+dataset!$M381</f>
        <v>603660</v>
      </c>
      <c r="P381" s="7">
        <f>Payroll_Data_Analysis[[#This Row],[Annual Salary + KPI Bonus]]/12/29.3*31</f>
        <v>53223.720136518765</v>
      </c>
      <c r="Q38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1" s="7">
        <f>Payroll_Data_Analysis[[#This Row],[Monthly Salary]]*11</f>
        <v>506000</v>
      </c>
      <c r="S38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1" s="7">
        <f>IF(Payroll_Data_Analysis[[#This Row],[Base Salary (Monthly)]]&gt;=200000,69507,IF(Payroll_Data_Analysis[[#This Row],[Base Salary (Monthly)]]&gt;=145000,52684,35103))</f>
        <v>35103</v>
      </c>
      <c r="U381" s="7">
        <f>Payroll_Data_Analysis[[#This Row],[Annual KPI Bonus Reserve]]+Payroll_Data_Analysis[[#This Row],[Vacation Reserve]]+Payroll_Data_Analysis[[#This Row],[11-Month Salary]]</f>
        <v>610883.72013651882</v>
      </c>
      <c r="V381" s="7">
        <f>Payroll_Data_Analysis[[#This Row],[Payroll Taxes (KPI Bonus)]]+Payroll_Data_Analysis[[#This Row],[Payroll Taxes (Vacation)]]+Payroll_Data_Analysis[[#This Row],[Payroll Taxes (Salary)]]</f>
        <v>184486.88348122867</v>
      </c>
      <c r="W381" s="13">
        <f>Payroll_Data_Analysis[[#This Row],[Total Payroll]]+Payroll_Data_Analysis[[#This Row],[Total Payroll Taxes]]</f>
        <v>795370.60361774755</v>
      </c>
    </row>
    <row r="382" spans="1:23">
      <c r="A382" s="11" t="s">
        <v>664</v>
      </c>
      <c r="B382" s="5" t="s">
        <v>385</v>
      </c>
      <c r="C382" s="5" t="s">
        <v>733</v>
      </c>
      <c r="D382" s="28" t="str">
        <f>VLOOKUP(Payroll_Data_Analysis[[#This Row],[Position]],Position_Map!$A$2:$B$58,2,FALSE)</f>
        <v>Facilities</v>
      </c>
      <c r="E382" s="6">
        <v>1</v>
      </c>
      <c r="F382" s="7">
        <v>51800</v>
      </c>
      <c r="G382" s="7">
        <v>35000</v>
      </c>
      <c r="H382" s="7"/>
      <c r="I382" s="7">
        <f>dataset!$F382-dataset!$J382-dataset!$G382-dataset!$H382</f>
        <v>14000</v>
      </c>
      <c r="J382" s="7">
        <f>dataset!$G382*0.08</f>
        <v>2800</v>
      </c>
      <c r="K382" s="7">
        <f>dataset!$F382*12</f>
        <v>621600</v>
      </c>
      <c r="L382" s="12">
        <f>IF(dataset!$G382&gt;=200000,38%,IF(dataset!$G382&lt;=145000,12.3%,))</f>
        <v>0.12300000000000001</v>
      </c>
      <c r="M382" s="7">
        <f>dataset!$G382*L383*12</f>
        <v>51660</v>
      </c>
      <c r="N38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2" s="7">
        <f>dataset!$K382+dataset!$M382</f>
        <v>673260</v>
      </c>
      <c r="P382" s="7">
        <f>Payroll_Data_Analysis[[#This Row],[Annual Salary + KPI Bonus]]/12/29.3*31</f>
        <v>59360.238907849831</v>
      </c>
      <c r="Q382" s="7">
        <f>IF(Payroll_Data_Analysis[[#This Row],[Vacation Reserve]]&lt;=2979000,Payroll_Data_Analysis[[#This Row],[Vacation Reserve]]*0.302,2979000*0.302+(Payroll_Data_Analysis[[#This Row],[Vacation Reserve]]-2979000)*0.151)</f>
        <v>17926.792150170648</v>
      </c>
      <c r="R382" s="7">
        <f>Payroll_Data_Analysis[[#This Row],[Monthly Salary]]*11</f>
        <v>569800</v>
      </c>
      <c r="S382" s="7">
        <f>IF(Payroll_Data_Analysis[[#This Row],[11-Month Salary]]&lt;=2979000,Payroll_Data_Analysis[[#This Row],[11-Month Salary]]*0.302,2979000*0.302+(Payroll_Data_Analysis[[#This Row],[11-Month Salary]]-2979000)*0.151)</f>
        <v>172079.6</v>
      </c>
      <c r="T382" s="7">
        <f>IF(Payroll_Data_Analysis[[#This Row],[Base Salary (Monthly)]]&gt;=200000,69507,IF(Payroll_Data_Analysis[[#This Row],[Base Salary (Monthly)]]&gt;=145000,52684,35103))</f>
        <v>35103</v>
      </c>
      <c r="U382" s="7">
        <f>Payroll_Data_Analysis[[#This Row],[Annual KPI Bonus Reserve]]+Payroll_Data_Analysis[[#This Row],[Vacation Reserve]]+Payroll_Data_Analysis[[#This Row],[11-Month Salary]]</f>
        <v>680820.23890784988</v>
      </c>
      <c r="V382" s="7">
        <f>Payroll_Data_Analysis[[#This Row],[Payroll Taxes (KPI Bonus)]]+Payroll_Data_Analysis[[#This Row],[Payroll Taxes (Vacation)]]+Payroll_Data_Analysis[[#This Row],[Payroll Taxes (Salary)]]</f>
        <v>205607.71215017064</v>
      </c>
      <c r="W382" s="13">
        <f>Payroll_Data_Analysis[[#This Row],[Total Payroll]]+Payroll_Data_Analysis[[#This Row],[Total Payroll Taxes]]</f>
        <v>886427.95105802058</v>
      </c>
    </row>
    <row r="383" spans="1:23">
      <c r="A383" s="11" t="s">
        <v>664</v>
      </c>
      <c r="B383" s="5" t="s">
        <v>386</v>
      </c>
      <c r="C383" s="5" t="s">
        <v>733</v>
      </c>
      <c r="D383" s="28" t="str">
        <f>VLOOKUP(Payroll_Data_Analysis[[#This Row],[Position]],Position_Map!$A$2:$B$58,2,FALSE)</f>
        <v>Facilities</v>
      </c>
      <c r="E383" s="6">
        <v>1</v>
      </c>
      <c r="F383" s="7">
        <v>46000</v>
      </c>
      <c r="G383" s="7">
        <v>35000</v>
      </c>
      <c r="H383" s="7"/>
      <c r="I383" s="7">
        <f>dataset!$F383-dataset!$J383-dataset!$G383-dataset!$H383</f>
        <v>8200</v>
      </c>
      <c r="J383" s="7">
        <f>dataset!$G383*0.08</f>
        <v>2800</v>
      </c>
      <c r="K383" s="7">
        <f>dataset!$F383*12</f>
        <v>552000</v>
      </c>
      <c r="L383" s="12">
        <f>IF(dataset!$G383&gt;=200000,38%,IF(dataset!$G383&lt;=145000,12.3%,))</f>
        <v>0.12300000000000001</v>
      </c>
      <c r="M383" s="7">
        <f>dataset!$G383*L384*12</f>
        <v>51660</v>
      </c>
      <c r="N38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3" s="7">
        <f>dataset!$K383+dataset!$M383</f>
        <v>603660</v>
      </c>
      <c r="P383" s="7">
        <f>Payroll_Data_Analysis[[#This Row],[Annual Salary + KPI Bonus]]/12/29.3*31</f>
        <v>53223.720136518765</v>
      </c>
      <c r="Q383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3" s="7">
        <f>Payroll_Data_Analysis[[#This Row],[Monthly Salary]]*11</f>
        <v>506000</v>
      </c>
      <c r="S383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3" s="7">
        <f>IF(Payroll_Data_Analysis[[#This Row],[Base Salary (Monthly)]]&gt;=200000,69507,IF(Payroll_Data_Analysis[[#This Row],[Base Salary (Monthly)]]&gt;=145000,52684,35103))</f>
        <v>35103</v>
      </c>
      <c r="U383" s="7">
        <f>Payroll_Data_Analysis[[#This Row],[Annual KPI Bonus Reserve]]+Payroll_Data_Analysis[[#This Row],[Vacation Reserve]]+Payroll_Data_Analysis[[#This Row],[11-Month Salary]]</f>
        <v>610883.72013651882</v>
      </c>
      <c r="V383" s="7">
        <f>Payroll_Data_Analysis[[#This Row],[Payroll Taxes (KPI Bonus)]]+Payroll_Data_Analysis[[#This Row],[Payroll Taxes (Vacation)]]+Payroll_Data_Analysis[[#This Row],[Payroll Taxes (Salary)]]</f>
        <v>184486.88348122867</v>
      </c>
      <c r="W383" s="13">
        <f>Payroll_Data_Analysis[[#This Row],[Total Payroll]]+Payroll_Data_Analysis[[#This Row],[Total Payroll Taxes]]</f>
        <v>795370.60361774755</v>
      </c>
    </row>
    <row r="384" spans="1:23">
      <c r="A384" s="11" t="s">
        <v>664</v>
      </c>
      <c r="B384" s="5" t="s">
        <v>387</v>
      </c>
      <c r="C384" s="5" t="s">
        <v>733</v>
      </c>
      <c r="D384" s="28" t="str">
        <f>VLOOKUP(Payroll_Data_Analysis[[#This Row],[Position]],Position_Map!$A$2:$B$58,2,FALSE)</f>
        <v>Facilities</v>
      </c>
      <c r="E384" s="6">
        <v>1</v>
      </c>
      <c r="F384" s="7">
        <v>46000</v>
      </c>
      <c r="G384" s="7">
        <v>35000</v>
      </c>
      <c r="H384" s="7"/>
      <c r="I384" s="7">
        <f>dataset!$F384-dataset!$J384-dataset!$G384-dataset!$H384</f>
        <v>8200</v>
      </c>
      <c r="J384" s="7">
        <f>dataset!$G384*0.08</f>
        <v>2800</v>
      </c>
      <c r="K384" s="7">
        <f>dataset!$F384*12</f>
        <v>552000</v>
      </c>
      <c r="L384" s="12">
        <f>IF(dataset!$G384&gt;=200000,38%,IF(dataset!$G384&lt;=145000,12.3%,))</f>
        <v>0.12300000000000001</v>
      </c>
      <c r="M384" s="7">
        <f>dataset!$G384*L385*12</f>
        <v>51660</v>
      </c>
      <c r="N38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4" s="7">
        <f>dataset!$K384+dataset!$M384</f>
        <v>603660</v>
      </c>
      <c r="P384" s="7">
        <f>Payroll_Data_Analysis[[#This Row],[Annual Salary + KPI Bonus]]/12/29.3*31</f>
        <v>53223.720136518765</v>
      </c>
      <c r="Q38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4" s="7">
        <f>Payroll_Data_Analysis[[#This Row],[Monthly Salary]]*11</f>
        <v>506000</v>
      </c>
      <c r="S38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4" s="7">
        <f>IF(Payroll_Data_Analysis[[#This Row],[Base Salary (Monthly)]]&gt;=200000,69507,IF(Payroll_Data_Analysis[[#This Row],[Base Salary (Monthly)]]&gt;=145000,52684,35103))</f>
        <v>35103</v>
      </c>
      <c r="U384" s="7">
        <f>Payroll_Data_Analysis[[#This Row],[Annual KPI Bonus Reserve]]+Payroll_Data_Analysis[[#This Row],[Vacation Reserve]]+Payroll_Data_Analysis[[#This Row],[11-Month Salary]]</f>
        <v>610883.72013651882</v>
      </c>
      <c r="V384" s="7">
        <f>Payroll_Data_Analysis[[#This Row],[Payroll Taxes (KPI Bonus)]]+Payroll_Data_Analysis[[#This Row],[Payroll Taxes (Vacation)]]+Payroll_Data_Analysis[[#This Row],[Payroll Taxes (Salary)]]</f>
        <v>184486.88348122867</v>
      </c>
      <c r="W384" s="13">
        <f>Payroll_Data_Analysis[[#This Row],[Total Payroll]]+Payroll_Data_Analysis[[#This Row],[Total Payroll Taxes]]</f>
        <v>795370.60361774755</v>
      </c>
    </row>
    <row r="385" spans="1:23">
      <c r="A385" s="11" t="s">
        <v>664</v>
      </c>
      <c r="B385" s="5" t="s">
        <v>388</v>
      </c>
      <c r="C385" s="5" t="s">
        <v>733</v>
      </c>
      <c r="D385" s="28" t="str">
        <f>VLOOKUP(Payroll_Data_Analysis[[#This Row],[Position]],Position_Map!$A$2:$B$58,2,FALSE)</f>
        <v>Facilities</v>
      </c>
      <c r="E385" s="6">
        <v>1</v>
      </c>
      <c r="F385" s="7">
        <v>46000</v>
      </c>
      <c r="G385" s="7">
        <v>35000</v>
      </c>
      <c r="H385" s="7"/>
      <c r="I385" s="7">
        <f>dataset!$F385-dataset!$J385-dataset!$G385-dataset!$H385</f>
        <v>8200</v>
      </c>
      <c r="J385" s="7">
        <f>dataset!$G385*0.08</f>
        <v>2800</v>
      </c>
      <c r="K385" s="7">
        <f>dataset!$F385*12</f>
        <v>552000</v>
      </c>
      <c r="L385" s="12">
        <f>IF(dataset!$G385&gt;=200000,38%,IF(dataset!$G385&lt;=145000,12.3%,))</f>
        <v>0.12300000000000001</v>
      </c>
      <c r="M385" s="7">
        <f>dataset!$G385*L386*12</f>
        <v>51660</v>
      </c>
      <c r="N38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5" s="7">
        <f>dataset!$K385+dataset!$M385</f>
        <v>603660</v>
      </c>
      <c r="P385" s="7">
        <f>Payroll_Data_Analysis[[#This Row],[Annual Salary + KPI Bonus]]/12/29.3*31</f>
        <v>53223.720136518765</v>
      </c>
      <c r="Q38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5" s="7">
        <f>Payroll_Data_Analysis[[#This Row],[Monthly Salary]]*11</f>
        <v>506000</v>
      </c>
      <c r="S38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5" s="7">
        <f>IF(Payroll_Data_Analysis[[#This Row],[Base Salary (Monthly)]]&gt;=200000,69507,IF(Payroll_Data_Analysis[[#This Row],[Base Salary (Monthly)]]&gt;=145000,52684,35103))</f>
        <v>35103</v>
      </c>
      <c r="U385" s="7">
        <f>Payroll_Data_Analysis[[#This Row],[Annual KPI Bonus Reserve]]+Payroll_Data_Analysis[[#This Row],[Vacation Reserve]]+Payroll_Data_Analysis[[#This Row],[11-Month Salary]]</f>
        <v>610883.72013651882</v>
      </c>
      <c r="V385" s="7">
        <f>Payroll_Data_Analysis[[#This Row],[Payroll Taxes (KPI Bonus)]]+Payroll_Data_Analysis[[#This Row],[Payroll Taxes (Vacation)]]+Payroll_Data_Analysis[[#This Row],[Payroll Taxes (Salary)]]</f>
        <v>184486.88348122867</v>
      </c>
      <c r="W385" s="13">
        <f>Payroll_Data_Analysis[[#This Row],[Total Payroll]]+Payroll_Data_Analysis[[#This Row],[Total Payroll Taxes]]</f>
        <v>795370.60361774755</v>
      </c>
    </row>
    <row r="386" spans="1:23">
      <c r="A386" s="11" t="s">
        <v>664</v>
      </c>
      <c r="B386" s="5" t="s">
        <v>389</v>
      </c>
      <c r="C386" s="5" t="s">
        <v>733</v>
      </c>
      <c r="D386" s="28" t="str">
        <f>VLOOKUP(Payroll_Data_Analysis[[#This Row],[Position]],Position_Map!$A$2:$B$58,2,FALSE)</f>
        <v>Facilities</v>
      </c>
      <c r="E386" s="6">
        <v>1</v>
      </c>
      <c r="F386" s="7">
        <v>46000</v>
      </c>
      <c r="G386" s="7">
        <v>35000</v>
      </c>
      <c r="H386" s="7"/>
      <c r="I386" s="7">
        <f>dataset!$F386-dataset!$J386-dataset!$G386-dataset!$H386</f>
        <v>8200</v>
      </c>
      <c r="J386" s="7">
        <f>dataset!$G386*0.08</f>
        <v>2800</v>
      </c>
      <c r="K386" s="7">
        <f>dataset!$F386*12</f>
        <v>552000</v>
      </c>
      <c r="L386" s="12">
        <f>IF(dataset!$G386&gt;=200000,38%,IF(dataset!$G386&lt;=145000,12.3%,))</f>
        <v>0.12300000000000001</v>
      </c>
      <c r="M386" s="7">
        <f>dataset!$G386*L387*12</f>
        <v>51660</v>
      </c>
      <c r="N38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6" s="7">
        <f>dataset!$K386+dataset!$M386</f>
        <v>603660</v>
      </c>
      <c r="P386" s="7">
        <f>Payroll_Data_Analysis[[#This Row],[Annual Salary + KPI Bonus]]/12/29.3*31</f>
        <v>53223.720136518765</v>
      </c>
      <c r="Q38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6" s="7">
        <f>Payroll_Data_Analysis[[#This Row],[Monthly Salary]]*11</f>
        <v>506000</v>
      </c>
      <c r="S38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6" s="7">
        <f>IF(Payroll_Data_Analysis[[#This Row],[Base Salary (Monthly)]]&gt;=200000,69507,IF(Payroll_Data_Analysis[[#This Row],[Base Salary (Monthly)]]&gt;=145000,52684,35103))</f>
        <v>35103</v>
      </c>
      <c r="U386" s="7">
        <f>Payroll_Data_Analysis[[#This Row],[Annual KPI Bonus Reserve]]+Payroll_Data_Analysis[[#This Row],[Vacation Reserve]]+Payroll_Data_Analysis[[#This Row],[11-Month Salary]]</f>
        <v>610883.72013651882</v>
      </c>
      <c r="V386" s="7">
        <f>Payroll_Data_Analysis[[#This Row],[Payroll Taxes (KPI Bonus)]]+Payroll_Data_Analysis[[#This Row],[Payroll Taxes (Vacation)]]+Payroll_Data_Analysis[[#This Row],[Payroll Taxes (Salary)]]</f>
        <v>184486.88348122867</v>
      </c>
      <c r="W386" s="13">
        <f>Payroll_Data_Analysis[[#This Row],[Total Payroll]]+Payroll_Data_Analysis[[#This Row],[Total Payroll Taxes]]</f>
        <v>795370.60361774755</v>
      </c>
    </row>
    <row r="387" spans="1:23">
      <c r="A387" s="11" t="s">
        <v>664</v>
      </c>
      <c r="B387" s="5" t="s">
        <v>390</v>
      </c>
      <c r="C387" s="5" t="s">
        <v>733</v>
      </c>
      <c r="D387" s="28" t="str">
        <f>VLOOKUP(Payroll_Data_Analysis[[#This Row],[Position]],Position_Map!$A$2:$B$58,2,FALSE)</f>
        <v>Facilities</v>
      </c>
      <c r="E387" s="6">
        <v>1</v>
      </c>
      <c r="F387" s="7">
        <v>46000</v>
      </c>
      <c r="G387" s="7">
        <v>35000</v>
      </c>
      <c r="H387" s="7"/>
      <c r="I387" s="7">
        <f>dataset!$F387-dataset!$J387-dataset!$G387-dataset!$H387</f>
        <v>8200</v>
      </c>
      <c r="J387" s="7">
        <f>dataset!$G387*0.08</f>
        <v>2800</v>
      </c>
      <c r="K387" s="7">
        <f>dataset!$F387*12</f>
        <v>552000</v>
      </c>
      <c r="L387" s="12">
        <f>IF(dataset!$G387&gt;=200000,38%,IF(dataset!$G387&lt;=145000,12.3%,))</f>
        <v>0.12300000000000001</v>
      </c>
      <c r="M387" s="7">
        <f>dataset!$G387*L388*12</f>
        <v>51660</v>
      </c>
      <c r="N38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7" s="7">
        <f>dataset!$K387+dataset!$M387</f>
        <v>603660</v>
      </c>
      <c r="P387" s="7">
        <f>Payroll_Data_Analysis[[#This Row],[Annual Salary + KPI Bonus]]/12/29.3*31</f>
        <v>53223.720136518765</v>
      </c>
      <c r="Q38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7" s="7">
        <f>Payroll_Data_Analysis[[#This Row],[Monthly Salary]]*11</f>
        <v>506000</v>
      </c>
      <c r="S38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7" s="7">
        <f>IF(Payroll_Data_Analysis[[#This Row],[Base Salary (Monthly)]]&gt;=200000,69507,IF(Payroll_Data_Analysis[[#This Row],[Base Salary (Monthly)]]&gt;=145000,52684,35103))</f>
        <v>35103</v>
      </c>
      <c r="U387" s="7">
        <f>Payroll_Data_Analysis[[#This Row],[Annual KPI Bonus Reserve]]+Payroll_Data_Analysis[[#This Row],[Vacation Reserve]]+Payroll_Data_Analysis[[#This Row],[11-Month Salary]]</f>
        <v>610883.72013651882</v>
      </c>
      <c r="V387" s="7">
        <f>Payroll_Data_Analysis[[#This Row],[Payroll Taxes (KPI Bonus)]]+Payroll_Data_Analysis[[#This Row],[Payroll Taxes (Vacation)]]+Payroll_Data_Analysis[[#This Row],[Payroll Taxes (Salary)]]</f>
        <v>184486.88348122867</v>
      </c>
      <c r="W387" s="13">
        <f>Payroll_Data_Analysis[[#This Row],[Total Payroll]]+Payroll_Data_Analysis[[#This Row],[Total Payroll Taxes]]</f>
        <v>795370.60361774755</v>
      </c>
    </row>
    <row r="388" spans="1:23">
      <c r="A388" s="11" t="s">
        <v>664</v>
      </c>
      <c r="B388" s="5" t="s">
        <v>391</v>
      </c>
      <c r="C388" s="5" t="s">
        <v>733</v>
      </c>
      <c r="D388" s="28" t="str">
        <f>VLOOKUP(Payroll_Data_Analysis[[#This Row],[Position]],Position_Map!$A$2:$B$58,2,FALSE)</f>
        <v>Facilities</v>
      </c>
      <c r="E388" s="6">
        <v>1</v>
      </c>
      <c r="F388" s="7">
        <v>46000</v>
      </c>
      <c r="G388" s="7">
        <v>35000</v>
      </c>
      <c r="H388" s="7"/>
      <c r="I388" s="7">
        <f>dataset!$F388-dataset!$J388-dataset!$G388-dataset!$H388</f>
        <v>8200</v>
      </c>
      <c r="J388" s="7">
        <f>dataset!$G388*0.08</f>
        <v>2800</v>
      </c>
      <c r="K388" s="7">
        <f>dataset!$F388*12</f>
        <v>552000</v>
      </c>
      <c r="L388" s="12">
        <f>IF(dataset!$G388&gt;=200000,38%,IF(dataset!$G388&lt;=145000,12.3%,))</f>
        <v>0.12300000000000001</v>
      </c>
      <c r="M388" s="7">
        <f>dataset!$G388*L389*12</f>
        <v>51660</v>
      </c>
      <c r="N38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8" s="7">
        <f>dataset!$K388+dataset!$M388</f>
        <v>603660</v>
      </c>
      <c r="P388" s="7">
        <f>Payroll_Data_Analysis[[#This Row],[Annual Salary + KPI Bonus]]/12/29.3*31</f>
        <v>53223.720136518765</v>
      </c>
      <c r="Q38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8" s="7">
        <f>Payroll_Data_Analysis[[#This Row],[Monthly Salary]]*11</f>
        <v>506000</v>
      </c>
      <c r="S38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8" s="7">
        <f>IF(Payroll_Data_Analysis[[#This Row],[Base Salary (Monthly)]]&gt;=200000,69507,IF(Payroll_Data_Analysis[[#This Row],[Base Salary (Monthly)]]&gt;=145000,52684,35103))</f>
        <v>35103</v>
      </c>
      <c r="U388" s="7">
        <f>Payroll_Data_Analysis[[#This Row],[Annual KPI Bonus Reserve]]+Payroll_Data_Analysis[[#This Row],[Vacation Reserve]]+Payroll_Data_Analysis[[#This Row],[11-Month Salary]]</f>
        <v>610883.72013651882</v>
      </c>
      <c r="V388" s="7">
        <f>Payroll_Data_Analysis[[#This Row],[Payroll Taxes (KPI Bonus)]]+Payroll_Data_Analysis[[#This Row],[Payroll Taxes (Vacation)]]+Payroll_Data_Analysis[[#This Row],[Payroll Taxes (Salary)]]</f>
        <v>184486.88348122867</v>
      </c>
      <c r="W388" s="13">
        <f>Payroll_Data_Analysis[[#This Row],[Total Payroll]]+Payroll_Data_Analysis[[#This Row],[Total Payroll Taxes]]</f>
        <v>795370.60361774755</v>
      </c>
    </row>
    <row r="389" spans="1:23">
      <c r="A389" s="11" t="s">
        <v>664</v>
      </c>
      <c r="B389" s="5" t="s">
        <v>392</v>
      </c>
      <c r="C389" s="5" t="s">
        <v>733</v>
      </c>
      <c r="D389" s="28" t="str">
        <f>VLOOKUP(Payroll_Data_Analysis[[#This Row],[Position]],Position_Map!$A$2:$B$58,2,FALSE)</f>
        <v>Facilities</v>
      </c>
      <c r="E389" s="6">
        <v>1</v>
      </c>
      <c r="F389" s="7">
        <v>46000</v>
      </c>
      <c r="G389" s="7">
        <v>35000</v>
      </c>
      <c r="H389" s="7"/>
      <c r="I389" s="7">
        <f>dataset!$F389-dataset!$J389-dataset!$G389-dataset!$H389</f>
        <v>8200</v>
      </c>
      <c r="J389" s="7">
        <f>dataset!$G389*0.08</f>
        <v>2800</v>
      </c>
      <c r="K389" s="7">
        <f>dataset!$F389*12</f>
        <v>552000</v>
      </c>
      <c r="L389" s="12">
        <f>IF(dataset!$G389&gt;=200000,38%,IF(dataset!$G389&lt;=145000,12.3%,))</f>
        <v>0.12300000000000001</v>
      </c>
      <c r="M389" s="7">
        <f>dataset!$G389*L390*12</f>
        <v>51660</v>
      </c>
      <c r="N38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89" s="7">
        <f>dataset!$K389+dataset!$M389</f>
        <v>603660</v>
      </c>
      <c r="P389" s="7">
        <f>Payroll_Data_Analysis[[#This Row],[Annual Salary + KPI Bonus]]/12/29.3*31</f>
        <v>53223.720136518765</v>
      </c>
      <c r="Q38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89" s="7">
        <f>Payroll_Data_Analysis[[#This Row],[Monthly Salary]]*11</f>
        <v>506000</v>
      </c>
      <c r="S38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89" s="7">
        <f>IF(Payroll_Data_Analysis[[#This Row],[Base Salary (Monthly)]]&gt;=200000,69507,IF(Payroll_Data_Analysis[[#This Row],[Base Salary (Monthly)]]&gt;=145000,52684,35103))</f>
        <v>35103</v>
      </c>
      <c r="U389" s="7">
        <f>Payroll_Data_Analysis[[#This Row],[Annual KPI Bonus Reserve]]+Payroll_Data_Analysis[[#This Row],[Vacation Reserve]]+Payroll_Data_Analysis[[#This Row],[11-Month Salary]]</f>
        <v>610883.72013651882</v>
      </c>
      <c r="V389" s="7">
        <f>Payroll_Data_Analysis[[#This Row],[Payroll Taxes (KPI Bonus)]]+Payroll_Data_Analysis[[#This Row],[Payroll Taxes (Vacation)]]+Payroll_Data_Analysis[[#This Row],[Payroll Taxes (Salary)]]</f>
        <v>184486.88348122867</v>
      </c>
      <c r="W389" s="13">
        <f>Payroll_Data_Analysis[[#This Row],[Total Payroll]]+Payroll_Data_Analysis[[#This Row],[Total Payroll Taxes]]</f>
        <v>795370.60361774755</v>
      </c>
    </row>
    <row r="390" spans="1:23">
      <c r="A390" s="11" t="s">
        <v>664</v>
      </c>
      <c r="B390" s="5" t="s">
        <v>393</v>
      </c>
      <c r="C390" s="5" t="s">
        <v>733</v>
      </c>
      <c r="D390" s="28" t="str">
        <f>VLOOKUP(Payroll_Data_Analysis[[#This Row],[Position]],Position_Map!$A$2:$B$58,2,FALSE)</f>
        <v>Facilities</v>
      </c>
      <c r="E390" s="6">
        <v>1</v>
      </c>
      <c r="F390" s="7">
        <v>46000</v>
      </c>
      <c r="G390" s="7">
        <v>35000</v>
      </c>
      <c r="H390" s="7"/>
      <c r="I390" s="7">
        <f>dataset!$F390-dataset!$J390-dataset!$G390-dataset!$H390</f>
        <v>8200</v>
      </c>
      <c r="J390" s="7">
        <f>dataset!$G390*0.08</f>
        <v>2800</v>
      </c>
      <c r="K390" s="7">
        <f>dataset!$F390*12</f>
        <v>552000</v>
      </c>
      <c r="L390" s="12">
        <f>IF(dataset!$G390&gt;=200000,38%,IF(dataset!$G390&lt;=145000,12.3%,))</f>
        <v>0.12300000000000001</v>
      </c>
      <c r="M390" s="7">
        <f>dataset!$G390*L391*12</f>
        <v>51660</v>
      </c>
      <c r="N39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90" s="7">
        <f>dataset!$K390+dataset!$M390</f>
        <v>603660</v>
      </c>
      <c r="P390" s="7">
        <f>Payroll_Data_Analysis[[#This Row],[Annual Salary + KPI Bonus]]/12/29.3*31</f>
        <v>53223.720136518765</v>
      </c>
      <c r="Q39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90" s="7">
        <f>Payroll_Data_Analysis[[#This Row],[Monthly Salary]]*11</f>
        <v>506000</v>
      </c>
      <c r="S39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90" s="7">
        <f>IF(Payroll_Data_Analysis[[#This Row],[Base Salary (Monthly)]]&gt;=200000,69507,IF(Payroll_Data_Analysis[[#This Row],[Base Salary (Monthly)]]&gt;=145000,52684,35103))</f>
        <v>35103</v>
      </c>
      <c r="U390" s="7">
        <f>Payroll_Data_Analysis[[#This Row],[Annual KPI Bonus Reserve]]+Payroll_Data_Analysis[[#This Row],[Vacation Reserve]]+Payroll_Data_Analysis[[#This Row],[11-Month Salary]]</f>
        <v>610883.72013651882</v>
      </c>
      <c r="V390" s="7">
        <f>Payroll_Data_Analysis[[#This Row],[Payroll Taxes (KPI Bonus)]]+Payroll_Data_Analysis[[#This Row],[Payroll Taxes (Vacation)]]+Payroll_Data_Analysis[[#This Row],[Payroll Taxes (Salary)]]</f>
        <v>184486.88348122867</v>
      </c>
      <c r="W390" s="13">
        <f>Payroll_Data_Analysis[[#This Row],[Total Payroll]]+Payroll_Data_Analysis[[#This Row],[Total Payroll Taxes]]</f>
        <v>795370.60361774755</v>
      </c>
    </row>
    <row r="391" spans="1:23">
      <c r="A391" s="11" t="s">
        <v>664</v>
      </c>
      <c r="B391" s="5" t="s">
        <v>394</v>
      </c>
      <c r="C391" s="5" t="s">
        <v>733</v>
      </c>
      <c r="D391" s="28" t="str">
        <f>VLOOKUP(Payroll_Data_Analysis[[#This Row],[Position]],Position_Map!$A$2:$B$58,2,FALSE)</f>
        <v>Facilities</v>
      </c>
      <c r="E391" s="6">
        <v>1</v>
      </c>
      <c r="F391" s="7">
        <v>46000</v>
      </c>
      <c r="G391" s="7">
        <v>35000</v>
      </c>
      <c r="H391" s="7"/>
      <c r="I391" s="7">
        <f>dataset!$F391-dataset!$J391-dataset!$G391-dataset!$H391</f>
        <v>8200</v>
      </c>
      <c r="J391" s="7">
        <f>dataset!$G391*0.08</f>
        <v>2800</v>
      </c>
      <c r="K391" s="7">
        <f>dataset!$F391*12</f>
        <v>552000</v>
      </c>
      <c r="L391" s="12">
        <f>IF(dataset!$G391&gt;=200000,38%,IF(dataset!$G391&lt;=145000,12.3%,))</f>
        <v>0.12300000000000001</v>
      </c>
      <c r="M391" s="7">
        <f>dataset!$G391*L392*12</f>
        <v>51660</v>
      </c>
      <c r="N39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391" s="7">
        <f>dataset!$K391+dataset!$M391</f>
        <v>603660</v>
      </c>
      <c r="P391" s="7">
        <f>Payroll_Data_Analysis[[#This Row],[Annual Salary + KPI Bonus]]/12/29.3*31</f>
        <v>53223.720136518765</v>
      </c>
      <c r="Q39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391" s="7">
        <f>Payroll_Data_Analysis[[#This Row],[Monthly Salary]]*11</f>
        <v>506000</v>
      </c>
      <c r="S39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391" s="7">
        <f>IF(Payroll_Data_Analysis[[#This Row],[Base Salary (Monthly)]]&gt;=200000,69507,IF(Payroll_Data_Analysis[[#This Row],[Base Salary (Monthly)]]&gt;=145000,52684,35103))</f>
        <v>35103</v>
      </c>
      <c r="U391" s="7">
        <f>Payroll_Data_Analysis[[#This Row],[Annual KPI Bonus Reserve]]+Payroll_Data_Analysis[[#This Row],[Vacation Reserve]]+Payroll_Data_Analysis[[#This Row],[11-Month Salary]]</f>
        <v>610883.72013651882</v>
      </c>
      <c r="V391" s="7">
        <f>Payroll_Data_Analysis[[#This Row],[Payroll Taxes (KPI Bonus)]]+Payroll_Data_Analysis[[#This Row],[Payroll Taxes (Vacation)]]+Payroll_Data_Analysis[[#This Row],[Payroll Taxes (Salary)]]</f>
        <v>184486.88348122867</v>
      </c>
      <c r="W391" s="13">
        <f>Payroll_Data_Analysis[[#This Row],[Total Payroll]]+Payroll_Data_Analysis[[#This Row],[Total Payroll Taxes]]</f>
        <v>795370.60361774755</v>
      </c>
    </row>
    <row r="392" spans="1:23">
      <c r="A392" s="11" t="s">
        <v>664</v>
      </c>
      <c r="B392" s="5" t="s">
        <v>395</v>
      </c>
      <c r="C392" s="5" t="s">
        <v>733</v>
      </c>
      <c r="D392" s="28" t="str">
        <f>VLOOKUP(Payroll_Data_Analysis[[#This Row],[Position]],Position_Map!$A$2:$B$58,2,FALSE)</f>
        <v>Facilities</v>
      </c>
      <c r="E392" s="6">
        <v>1</v>
      </c>
      <c r="F392" s="7">
        <v>87920</v>
      </c>
      <c r="G392" s="7">
        <v>60000</v>
      </c>
      <c r="H392" s="7"/>
      <c r="I392" s="7">
        <f>dataset!$F392-dataset!$J392-dataset!$G392-dataset!$H392</f>
        <v>23120</v>
      </c>
      <c r="J392" s="7">
        <f>dataset!$G392*0.08</f>
        <v>4800</v>
      </c>
      <c r="K392" s="7">
        <f>dataset!$F392*12</f>
        <v>1055040</v>
      </c>
      <c r="L392" s="12">
        <f>IF(dataset!$G392&gt;=200000,38%,IF(dataset!$G392&lt;=145000,12.3%,))</f>
        <v>0.12300000000000001</v>
      </c>
      <c r="M392" s="7">
        <f>dataset!$G392*L393*12</f>
        <v>88560.000000000015</v>
      </c>
      <c r="N39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2" s="7">
        <f>dataset!$K392+dataset!$M392</f>
        <v>1143600</v>
      </c>
      <c r="P392" s="7">
        <f>Payroll_Data_Analysis[[#This Row],[Annual Salary + KPI Bonus]]/12/29.3*31</f>
        <v>100829.35153583618</v>
      </c>
      <c r="Q392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92" s="7">
        <f>Payroll_Data_Analysis[[#This Row],[Monthly Salary]]*11</f>
        <v>967120</v>
      </c>
      <c r="S392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92" s="7">
        <f>IF(Payroll_Data_Analysis[[#This Row],[Base Salary (Monthly)]]&gt;=200000,69507,IF(Payroll_Data_Analysis[[#This Row],[Base Salary (Monthly)]]&gt;=145000,52684,35103))</f>
        <v>35103</v>
      </c>
      <c r="U392" s="7">
        <f>Payroll_Data_Analysis[[#This Row],[Annual KPI Bonus Reserve]]+Payroll_Data_Analysis[[#This Row],[Vacation Reserve]]+Payroll_Data_Analysis[[#This Row],[11-Month Salary]]</f>
        <v>1156509.3515358362</v>
      </c>
      <c r="V392" s="7">
        <f>Payroll_Data_Analysis[[#This Row],[Payroll Taxes (KPI Bonus)]]+Payroll_Data_Analysis[[#This Row],[Payroll Taxes (Vacation)]]+Payroll_Data_Analysis[[#This Row],[Payroll Taxes (Salary)]]</f>
        <v>349265.82416382252</v>
      </c>
      <c r="W392" s="13">
        <f>Payroll_Data_Analysis[[#This Row],[Total Payroll]]+Payroll_Data_Analysis[[#This Row],[Total Payroll Taxes]]</f>
        <v>1505775.1756996587</v>
      </c>
    </row>
    <row r="393" spans="1:23">
      <c r="A393" s="11" t="s">
        <v>664</v>
      </c>
      <c r="B393" s="5" t="s">
        <v>396</v>
      </c>
      <c r="C393" s="5" t="s">
        <v>735</v>
      </c>
      <c r="D393" s="28" t="str">
        <f>VLOOKUP(Payroll_Data_Analysis[[#This Row],[Position]],Position_Map!$A$2:$B$58,2,FALSE)</f>
        <v>Technical</v>
      </c>
      <c r="E393" s="6">
        <v>1</v>
      </c>
      <c r="F393" s="7">
        <v>87920</v>
      </c>
      <c r="G393" s="7">
        <v>60000</v>
      </c>
      <c r="H393" s="7"/>
      <c r="I393" s="7">
        <f>dataset!$F393-dataset!$J393-dataset!$G393-dataset!$H393</f>
        <v>23120</v>
      </c>
      <c r="J393" s="7">
        <f>dataset!$G393*0.08</f>
        <v>4800</v>
      </c>
      <c r="K393" s="7">
        <f>dataset!$F393*12</f>
        <v>1055040</v>
      </c>
      <c r="L393" s="12">
        <f>IF(dataset!$G393&gt;=200000,38%,IF(dataset!$G393&lt;=145000,12.3%,))</f>
        <v>0.12300000000000001</v>
      </c>
      <c r="M393" s="7">
        <f>dataset!$G393*L394*12</f>
        <v>88560.000000000015</v>
      </c>
      <c r="N39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3" s="7">
        <f>dataset!$K393+dataset!$M393</f>
        <v>1143600</v>
      </c>
      <c r="P393" s="7">
        <f>Payroll_Data_Analysis[[#This Row],[Annual Salary + KPI Bonus]]/12/29.3*31</f>
        <v>100829.35153583618</v>
      </c>
      <c r="Q393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93" s="7">
        <f>Payroll_Data_Analysis[[#This Row],[Monthly Salary]]*11</f>
        <v>967120</v>
      </c>
      <c r="S393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93" s="7">
        <f>IF(Payroll_Data_Analysis[[#This Row],[Base Salary (Monthly)]]&gt;=200000,69507,IF(Payroll_Data_Analysis[[#This Row],[Base Salary (Monthly)]]&gt;=145000,52684,35103))</f>
        <v>35103</v>
      </c>
      <c r="U393" s="7">
        <f>Payroll_Data_Analysis[[#This Row],[Annual KPI Bonus Reserve]]+Payroll_Data_Analysis[[#This Row],[Vacation Reserve]]+Payroll_Data_Analysis[[#This Row],[11-Month Salary]]</f>
        <v>1156509.3515358362</v>
      </c>
      <c r="V393" s="7">
        <f>Payroll_Data_Analysis[[#This Row],[Payroll Taxes (KPI Bonus)]]+Payroll_Data_Analysis[[#This Row],[Payroll Taxes (Vacation)]]+Payroll_Data_Analysis[[#This Row],[Payroll Taxes (Salary)]]</f>
        <v>349265.82416382252</v>
      </c>
      <c r="W393" s="13">
        <f>Payroll_Data_Analysis[[#This Row],[Total Payroll]]+Payroll_Data_Analysis[[#This Row],[Total Payroll Taxes]]</f>
        <v>1505775.1756996587</v>
      </c>
    </row>
    <row r="394" spans="1:23">
      <c r="A394" s="11" t="s">
        <v>664</v>
      </c>
      <c r="B394" s="5" t="s">
        <v>397</v>
      </c>
      <c r="C394" s="5" t="s">
        <v>736</v>
      </c>
      <c r="D394" s="28" t="str">
        <f>VLOOKUP(Payroll_Data_Analysis[[#This Row],[Position]],Position_Map!$A$2:$B$58,2,FALSE)</f>
        <v>Technical</v>
      </c>
      <c r="E394" s="6">
        <v>1</v>
      </c>
      <c r="F394" s="7">
        <v>89000</v>
      </c>
      <c r="G394" s="7">
        <v>60000</v>
      </c>
      <c r="H394" s="7"/>
      <c r="I394" s="7">
        <f>dataset!$F394-dataset!$J394-dataset!$G394-dataset!$H394</f>
        <v>24200</v>
      </c>
      <c r="J394" s="7">
        <f>dataset!$G394*0.08</f>
        <v>4800</v>
      </c>
      <c r="K394" s="7">
        <f>dataset!$F394*12</f>
        <v>1068000</v>
      </c>
      <c r="L394" s="12">
        <f>IF(dataset!$G394&gt;=200000,38%,IF(dataset!$G394&lt;=145000,12.3%,))</f>
        <v>0.12300000000000001</v>
      </c>
      <c r="M394" s="7">
        <f>dataset!$G394*L395*12</f>
        <v>88560.000000000015</v>
      </c>
      <c r="N39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4" s="7">
        <f>dataset!$K394+dataset!$M394</f>
        <v>1156560</v>
      </c>
      <c r="P394" s="7">
        <f>Payroll_Data_Analysis[[#This Row],[Annual Salary + KPI Bonus]]/12/29.3*31</f>
        <v>101972.01365187713</v>
      </c>
      <c r="Q394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394" s="7">
        <f>Payroll_Data_Analysis[[#This Row],[Monthly Salary]]*11</f>
        <v>979000</v>
      </c>
      <c r="S394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394" s="7">
        <f>IF(Payroll_Data_Analysis[[#This Row],[Base Salary (Monthly)]]&gt;=200000,69507,IF(Payroll_Data_Analysis[[#This Row],[Base Salary (Monthly)]]&gt;=145000,52684,35103))</f>
        <v>35103</v>
      </c>
      <c r="U394" s="7">
        <f>Payroll_Data_Analysis[[#This Row],[Annual KPI Bonus Reserve]]+Payroll_Data_Analysis[[#This Row],[Vacation Reserve]]+Payroll_Data_Analysis[[#This Row],[11-Month Salary]]</f>
        <v>1169532.0136518772</v>
      </c>
      <c r="V394" s="7">
        <f>Payroll_Data_Analysis[[#This Row],[Payroll Taxes (KPI Bonus)]]+Payroll_Data_Analysis[[#This Row],[Payroll Taxes (Vacation)]]+Payroll_Data_Analysis[[#This Row],[Payroll Taxes (Salary)]]</f>
        <v>353198.66812286689</v>
      </c>
      <c r="W394" s="13">
        <f>Payroll_Data_Analysis[[#This Row],[Total Payroll]]+Payroll_Data_Analysis[[#This Row],[Total Payroll Taxes]]</f>
        <v>1522730.6817747441</v>
      </c>
    </row>
    <row r="395" spans="1:23">
      <c r="A395" s="11" t="s">
        <v>664</v>
      </c>
      <c r="B395" s="5" t="s">
        <v>398</v>
      </c>
      <c r="C395" s="5" t="s">
        <v>735</v>
      </c>
      <c r="D395" s="28" t="str">
        <f>VLOOKUP(Payroll_Data_Analysis[[#This Row],[Position]],Position_Map!$A$2:$B$58,2,FALSE)</f>
        <v>Technical</v>
      </c>
      <c r="E395" s="6">
        <v>1</v>
      </c>
      <c r="F395" s="7">
        <v>87920</v>
      </c>
      <c r="G395" s="7">
        <v>60000</v>
      </c>
      <c r="H395" s="7"/>
      <c r="I395" s="7">
        <f>dataset!$F395-dataset!$J395-dataset!$G395-dataset!$H395</f>
        <v>23120</v>
      </c>
      <c r="J395" s="7">
        <f>dataset!$G395*0.08</f>
        <v>4800</v>
      </c>
      <c r="K395" s="7">
        <f>dataset!$F395*12</f>
        <v>1055040</v>
      </c>
      <c r="L395" s="12">
        <f>IF(dataset!$G395&gt;=200000,38%,IF(dataset!$G395&lt;=145000,12.3%,))</f>
        <v>0.12300000000000001</v>
      </c>
      <c r="M395" s="7">
        <f>dataset!$G395*L396*12</f>
        <v>88560.000000000015</v>
      </c>
      <c r="N39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5" s="7">
        <f>dataset!$K395+dataset!$M395</f>
        <v>1143600</v>
      </c>
      <c r="P395" s="7">
        <f>Payroll_Data_Analysis[[#This Row],[Annual Salary + KPI Bonus]]/12/29.3*31</f>
        <v>100829.35153583618</v>
      </c>
      <c r="Q395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95" s="7">
        <f>Payroll_Data_Analysis[[#This Row],[Monthly Salary]]*11</f>
        <v>967120</v>
      </c>
      <c r="S395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95" s="7">
        <f>IF(Payroll_Data_Analysis[[#This Row],[Base Salary (Monthly)]]&gt;=200000,69507,IF(Payroll_Data_Analysis[[#This Row],[Base Salary (Monthly)]]&gt;=145000,52684,35103))</f>
        <v>35103</v>
      </c>
      <c r="U395" s="7">
        <f>Payroll_Data_Analysis[[#This Row],[Annual KPI Bonus Reserve]]+Payroll_Data_Analysis[[#This Row],[Vacation Reserve]]+Payroll_Data_Analysis[[#This Row],[11-Month Salary]]</f>
        <v>1156509.3515358362</v>
      </c>
      <c r="V395" s="7">
        <f>Payroll_Data_Analysis[[#This Row],[Payroll Taxes (KPI Bonus)]]+Payroll_Data_Analysis[[#This Row],[Payroll Taxes (Vacation)]]+Payroll_Data_Analysis[[#This Row],[Payroll Taxes (Salary)]]</f>
        <v>349265.82416382252</v>
      </c>
      <c r="W395" s="13">
        <f>Payroll_Data_Analysis[[#This Row],[Total Payroll]]+Payroll_Data_Analysis[[#This Row],[Total Payroll Taxes]]</f>
        <v>1505775.1756996587</v>
      </c>
    </row>
    <row r="396" spans="1:23">
      <c r="A396" s="11" t="s">
        <v>664</v>
      </c>
      <c r="B396" s="5" t="s">
        <v>399</v>
      </c>
      <c r="C396" s="5" t="s">
        <v>735</v>
      </c>
      <c r="D396" s="28" t="str">
        <f>VLOOKUP(Payroll_Data_Analysis[[#This Row],[Position]],Position_Map!$A$2:$B$58,2,FALSE)</f>
        <v>Technical</v>
      </c>
      <c r="E396" s="6">
        <v>1</v>
      </c>
      <c r="F396" s="7">
        <v>87920</v>
      </c>
      <c r="G396" s="7">
        <v>60000</v>
      </c>
      <c r="H396" s="7"/>
      <c r="I396" s="7">
        <f>dataset!$F396-dataset!$J396-dataset!$G396-dataset!$H396</f>
        <v>23120</v>
      </c>
      <c r="J396" s="7">
        <f>dataset!$G396*0.08</f>
        <v>4800</v>
      </c>
      <c r="K396" s="7">
        <f>dataset!$F396*12</f>
        <v>1055040</v>
      </c>
      <c r="L396" s="12">
        <f>IF(dataset!$G396&gt;=200000,38%,IF(dataset!$G396&lt;=145000,12.3%,))</f>
        <v>0.12300000000000001</v>
      </c>
      <c r="M396" s="7">
        <f>dataset!$G396*L397*12</f>
        <v>88560.000000000015</v>
      </c>
      <c r="N39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6" s="7">
        <f>dataset!$K396+dataset!$M396</f>
        <v>1143600</v>
      </c>
      <c r="P396" s="7">
        <f>Payroll_Data_Analysis[[#This Row],[Annual Salary + KPI Bonus]]/12/29.3*31</f>
        <v>100829.35153583618</v>
      </c>
      <c r="Q396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96" s="7">
        <f>Payroll_Data_Analysis[[#This Row],[Monthly Salary]]*11</f>
        <v>967120</v>
      </c>
      <c r="S396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96" s="7">
        <f>IF(Payroll_Data_Analysis[[#This Row],[Base Salary (Monthly)]]&gt;=200000,69507,IF(Payroll_Data_Analysis[[#This Row],[Base Salary (Monthly)]]&gt;=145000,52684,35103))</f>
        <v>35103</v>
      </c>
      <c r="U396" s="7">
        <f>Payroll_Data_Analysis[[#This Row],[Annual KPI Bonus Reserve]]+Payroll_Data_Analysis[[#This Row],[Vacation Reserve]]+Payroll_Data_Analysis[[#This Row],[11-Month Salary]]</f>
        <v>1156509.3515358362</v>
      </c>
      <c r="V396" s="7">
        <f>Payroll_Data_Analysis[[#This Row],[Payroll Taxes (KPI Bonus)]]+Payroll_Data_Analysis[[#This Row],[Payroll Taxes (Vacation)]]+Payroll_Data_Analysis[[#This Row],[Payroll Taxes (Salary)]]</f>
        <v>349265.82416382252</v>
      </c>
      <c r="W396" s="13">
        <f>Payroll_Data_Analysis[[#This Row],[Total Payroll]]+Payroll_Data_Analysis[[#This Row],[Total Payroll Taxes]]</f>
        <v>1505775.1756996587</v>
      </c>
    </row>
    <row r="397" spans="1:23">
      <c r="A397" s="11" t="s">
        <v>664</v>
      </c>
      <c r="B397" s="5" t="s">
        <v>400</v>
      </c>
      <c r="C397" s="5" t="s">
        <v>735</v>
      </c>
      <c r="D397" s="28" t="str">
        <f>VLOOKUP(Payroll_Data_Analysis[[#This Row],[Position]],Position_Map!$A$2:$B$58,2,FALSE)</f>
        <v>Technical</v>
      </c>
      <c r="E397" s="6">
        <v>1</v>
      </c>
      <c r="F397" s="7">
        <v>87920</v>
      </c>
      <c r="G397" s="7">
        <v>60000</v>
      </c>
      <c r="H397" s="7"/>
      <c r="I397" s="7">
        <f>dataset!$F397-dataset!$J397-dataset!$G397-dataset!$H397</f>
        <v>23120</v>
      </c>
      <c r="J397" s="7">
        <f>dataset!$G397*0.08</f>
        <v>4800</v>
      </c>
      <c r="K397" s="7">
        <f>dataset!$F397*12</f>
        <v>1055040</v>
      </c>
      <c r="L397" s="12">
        <f>IF(dataset!$G397&gt;=200000,38%,IF(dataset!$G397&lt;=145000,12.3%,))</f>
        <v>0.12300000000000001</v>
      </c>
      <c r="M397" s="7">
        <f>dataset!$G397*L398*12</f>
        <v>88560.000000000015</v>
      </c>
      <c r="N39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7" s="7">
        <f>dataset!$K397+dataset!$M397</f>
        <v>1143600</v>
      </c>
      <c r="P397" s="7">
        <f>Payroll_Data_Analysis[[#This Row],[Annual Salary + KPI Bonus]]/12/29.3*31</f>
        <v>100829.35153583618</v>
      </c>
      <c r="Q397" s="7">
        <f>IF(Payroll_Data_Analysis[[#This Row],[Vacation Reserve]]&lt;=2979000,Payroll_Data_Analysis[[#This Row],[Vacation Reserve]]*0.302,2979000*0.302+(Payroll_Data_Analysis[[#This Row],[Vacation Reserve]]-2979000)*0.151)</f>
        <v>30450.464163822526</v>
      </c>
      <c r="R397" s="7">
        <f>Payroll_Data_Analysis[[#This Row],[Monthly Salary]]*11</f>
        <v>967120</v>
      </c>
      <c r="S397" s="7">
        <f>IF(Payroll_Data_Analysis[[#This Row],[11-Month Salary]]&lt;=2979000,Payroll_Data_Analysis[[#This Row],[11-Month Salary]]*0.302,2979000*0.302+(Payroll_Data_Analysis[[#This Row],[11-Month Salary]]-2979000)*0.151)</f>
        <v>292070.24</v>
      </c>
      <c r="T397" s="7">
        <f>IF(Payroll_Data_Analysis[[#This Row],[Base Salary (Monthly)]]&gt;=200000,69507,IF(Payroll_Data_Analysis[[#This Row],[Base Salary (Monthly)]]&gt;=145000,52684,35103))</f>
        <v>35103</v>
      </c>
      <c r="U397" s="7">
        <f>Payroll_Data_Analysis[[#This Row],[Annual KPI Bonus Reserve]]+Payroll_Data_Analysis[[#This Row],[Vacation Reserve]]+Payroll_Data_Analysis[[#This Row],[11-Month Salary]]</f>
        <v>1156509.3515358362</v>
      </c>
      <c r="V397" s="7">
        <f>Payroll_Data_Analysis[[#This Row],[Payroll Taxes (KPI Bonus)]]+Payroll_Data_Analysis[[#This Row],[Payroll Taxes (Vacation)]]+Payroll_Data_Analysis[[#This Row],[Payroll Taxes (Salary)]]</f>
        <v>349265.82416382252</v>
      </c>
      <c r="W397" s="13">
        <f>Payroll_Data_Analysis[[#This Row],[Total Payroll]]+Payroll_Data_Analysis[[#This Row],[Total Payroll Taxes]]</f>
        <v>1505775.1756996587</v>
      </c>
    </row>
    <row r="398" spans="1:23">
      <c r="A398" s="11" t="s">
        <v>664</v>
      </c>
      <c r="B398" s="5" t="s">
        <v>401</v>
      </c>
      <c r="C398" s="5" t="s">
        <v>737</v>
      </c>
      <c r="D398" s="28" t="str">
        <f>VLOOKUP(Payroll_Data_Analysis[[#This Row],[Position]],Position_Map!$A$2:$B$58,2,FALSE)</f>
        <v>Operations</v>
      </c>
      <c r="E398" s="6">
        <v>1</v>
      </c>
      <c r="F398" s="7">
        <v>84000</v>
      </c>
      <c r="G398" s="7">
        <v>60000</v>
      </c>
      <c r="H398" s="7"/>
      <c r="I398" s="7">
        <f>dataset!$F398-dataset!$J398-dataset!$G398-dataset!$H398</f>
        <v>19200</v>
      </c>
      <c r="J398" s="7">
        <f>dataset!$G398*0.08</f>
        <v>4800</v>
      </c>
      <c r="K398" s="7">
        <f>dataset!$F398*12</f>
        <v>1008000</v>
      </c>
      <c r="L398" s="12">
        <f>IF(dataset!$G398&gt;=200000,38%,IF(dataset!$G398&lt;=145000,12.3%,))</f>
        <v>0.12300000000000001</v>
      </c>
      <c r="M398" s="7">
        <f>dataset!$G398*L399*12</f>
        <v>88560.000000000015</v>
      </c>
      <c r="N39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8" s="7">
        <f>dataset!$K398+dataset!$M398</f>
        <v>1096560</v>
      </c>
      <c r="P398" s="7">
        <f>Payroll_Data_Analysis[[#This Row],[Annual Salary + KPI Bonus]]/12/29.3*31</f>
        <v>96681.911262798632</v>
      </c>
      <c r="Q398" s="7">
        <f>IF(Payroll_Data_Analysis[[#This Row],[Vacation Reserve]]&lt;=2979000,Payroll_Data_Analysis[[#This Row],[Vacation Reserve]]*0.302,2979000*0.302+(Payroll_Data_Analysis[[#This Row],[Vacation Reserve]]-2979000)*0.151)</f>
        <v>29197.937201365185</v>
      </c>
      <c r="R398" s="7">
        <f>Payroll_Data_Analysis[[#This Row],[Monthly Salary]]*11</f>
        <v>924000</v>
      </c>
      <c r="S398" s="7">
        <f>IF(Payroll_Data_Analysis[[#This Row],[11-Month Salary]]&lt;=2979000,Payroll_Data_Analysis[[#This Row],[11-Month Salary]]*0.302,2979000*0.302+(Payroll_Data_Analysis[[#This Row],[11-Month Salary]]-2979000)*0.151)</f>
        <v>279048</v>
      </c>
      <c r="T398" s="7">
        <f>IF(Payroll_Data_Analysis[[#This Row],[Base Salary (Monthly)]]&gt;=200000,69507,IF(Payroll_Data_Analysis[[#This Row],[Base Salary (Monthly)]]&gt;=145000,52684,35103))</f>
        <v>35103</v>
      </c>
      <c r="U398" s="7">
        <f>Payroll_Data_Analysis[[#This Row],[Annual KPI Bonus Reserve]]+Payroll_Data_Analysis[[#This Row],[Vacation Reserve]]+Payroll_Data_Analysis[[#This Row],[11-Month Salary]]</f>
        <v>1109241.9112627986</v>
      </c>
      <c r="V398" s="7">
        <f>Payroll_Data_Analysis[[#This Row],[Payroll Taxes (KPI Bonus)]]+Payroll_Data_Analysis[[#This Row],[Payroll Taxes (Vacation)]]+Payroll_Data_Analysis[[#This Row],[Payroll Taxes (Salary)]]</f>
        <v>334991.05720136518</v>
      </c>
      <c r="W398" s="13">
        <f>Payroll_Data_Analysis[[#This Row],[Total Payroll]]+Payroll_Data_Analysis[[#This Row],[Total Payroll Taxes]]</f>
        <v>1444232.9684641638</v>
      </c>
    </row>
    <row r="399" spans="1:23">
      <c r="A399" s="11" t="s">
        <v>664</v>
      </c>
      <c r="B399" s="5" t="s">
        <v>402</v>
      </c>
      <c r="C399" s="5" t="s">
        <v>738</v>
      </c>
      <c r="D399" s="28" t="str">
        <f>VLOOKUP(Payroll_Data_Analysis[[#This Row],[Position]],Position_Map!$A$2:$B$58,2,FALSE)</f>
        <v>Facilities</v>
      </c>
      <c r="E399" s="6">
        <v>1</v>
      </c>
      <c r="F399" s="7">
        <v>79000</v>
      </c>
      <c r="G399" s="7">
        <v>60000</v>
      </c>
      <c r="H399" s="7"/>
      <c r="I399" s="7">
        <f>dataset!$F399-dataset!$J399-dataset!$G399-dataset!$H399</f>
        <v>14200</v>
      </c>
      <c r="J399" s="7">
        <f>dataset!$G399*0.08</f>
        <v>4800</v>
      </c>
      <c r="K399" s="7">
        <f>dataset!$F399*12</f>
        <v>948000</v>
      </c>
      <c r="L399" s="12">
        <f>IF(dataset!$G399&gt;=200000,38%,IF(dataset!$G399&lt;=145000,12.3%,))</f>
        <v>0.12300000000000001</v>
      </c>
      <c r="M399" s="7">
        <f>dataset!$G399*L400*12</f>
        <v>88560.000000000015</v>
      </c>
      <c r="N39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399" s="7">
        <f>dataset!$K399+dataset!$M399</f>
        <v>1036560</v>
      </c>
      <c r="P399" s="7">
        <f>Payroll_Data_Analysis[[#This Row],[Annual Salary + KPI Bonus]]/12/29.3*31</f>
        <v>91391.808873720147</v>
      </c>
      <c r="Q399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399" s="7">
        <f>Payroll_Data_Analysis[[#This Row],[Monthly Salary]]*11</f>
        <v>869000</v>
      </c>
      <c r="S399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399" s="7">
        <f>IF(Payroll_Data_Analysis[[#This Row],[Base Salary (Monthly)]]&gt;=200000,69507,IF(Payroll_Data_Analysis[[#This Row],[Base Salary (Monthly)]]&gt;=145000,52684,35103))</f>
        <v>35103</v>
      </c>
      <c r="U399" s="7">
        <f>Payroll_Data_Analysis[[#This Row],[Annual KPI Bonus Reserve]]+Payroll_Data_Analysis[[#This Row],[Vacation Reserve]]+Payroll_Data_Analysis[[#This Row],[11-Month Salary]]</f>
        <v>1048951.8088737202</v>
      </c>
      <c r="V399" s="7">
        <f>Payroll_Data_Analysis[[#This Row],[Payroll Taxes (KPI Bonus)]]+Payroll_Data_Analysis[[#This Row],[Payroll Taxes (Vacation)]]+Payroll_Data_Analysis[[#This Row],[Payroll Taxes (Salary)]]</f>
        <v>316783.44627986348</v>
      </c>
      <c r="W399" s="13">
        <f>Payroll_Data_Analysis[[#This Row],[Total Payroll]]+Payroll_Data_Analysis[[#This Row],[Total Payroll Taxes]]</f>
        <v>1365735.2551535838</v>
      </c>
    </row>
    <row r="400" spans="1:23">
      <c r="A400" s="11" t="s">
        <v>664</v>
      </c>
      <c r="B400" s="5" t="s">
        <v>403</v>
      </c>
      <c r="C400" s="5" t="s">
        <v>733</v>
      </c>
      <c r="D400" s="28" t="str">
        <f>VLOOKUP(Payroll_Data_Analysis[[#This Row],[Position]],Position_Map!$A$2:$B$58,2,FALSE)</f>
        <v>Facilities</v>
      </c>
      <c r="E400" s="6">
        <v>1</v>
      </c>
      <c r="F400" s="7">
        <v>81000</v>
      </c>
      <c r="G400" s="7">
        <v>60000</v>
      </c>
      <c r="H400" s="7"/>
      <c r="I400" s="7">
        <f>dataset!$F400-dataset!$J400-dataset!$G400-dataset!$H400</f>
        <v>16200</v>
      </c>
      <c r="J400" s="7">
        <f>dataset!$G400*0.08</f>
        <v>4800</v>
      </c>
      <c r="K400" s="7">
        <f>dataset!$F400*12</f>
        <v>972000</v>
      </c>
      <c r="L400" s="12">
        <f>IF(dataset!$G400&gt;=200000,38%,IF(dataset!$G400&lt;=145000,12.3%,))</f>
        <v>0.12300000000000001</v>
      </c>
      <c r="M400" s="7">
        <f>dataset!$G400*L401*12</f>
        <v>88560.000000000015</v>
      </c>
      <c r="N40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00" s="7">
        <f>dataset!$K400+dataset!$M400</f>
        <v>1060560</v>
      </c>
      <c r="P400" s="7">
        <f>Payroll_Data_Analysis[[#This Row],[Annual Salary + KPI Bonus]]/12/29.3*31</f>
        <v>93507.849829351544</v>
      </c>
      <c r="Q400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400" s="7">
        <f>Payroll_Data_Analysis[[#This Row],[Monthly Salary]]*11</f>
        <v>891000</v>
      </c>
      <c r="S400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400" s="7">
        <f>IF(Payroll_Data_Analysis[[#This Row],[Base Salary (Monthly)]]&gt;=200000,69507,IF(Payroll_Data_Analysis[[#This Row],[Base Salary (Monthly)]]&gt;=145000,52684,35103))</f>
        <v>35103</v>
      </c>
      <c r="U400" s="7">
        <f>Payroll_Data_Analysis[[#This Row],[Annual KPI Bonus Reserve]]+Payroll_Data_Analysis[[#This Row],[Vacation Reserve]]+Payroll_Data_Analysis[[#This Row],[11-Month Salary]]</f>
        <v>1073067.8498293515</v>
      </c>
      <c r="V400" s="7">
        <f>Payroll_Data_Analysis[[#This Row],[Payroll Taxes (KPI Bonus)]]+Payroll_Data_Analysis[[#This Row],[Payroll Taxes (Vacation)]]+Payroll_Data_Analysis[[#This Row],[Payroll Taxes (Salary)]]</f>
        <v>324066.49064846418</v>
      </c>
      <c r="W400" s="13">
        <f>Payroll_Data_Analysis[[#This Row],[Total Payroll]]+Payroll_Data_Analysis[[#This Row],[Total Payroll Taxes]]</f>
        <v>1397134.3404778158</v>
      </c>
    </row>
    <row r="401" spans="1:23">
      <c r="A401" s="11" t="s">
        <v>664</v>
      </c>
      <c r="B401" s="5" t="s">
        <v>404</v>
      </c>
      <c r="C401" s="5" t="s">
        <v>733</v>
      </c>
      <c r="D401" s="28" t="str">
        <f>VLOOKUP(Payroll_Data_Analysis[[#This Row],[Position]],Position_Map!$A$2:$B$58,2,FALSE)</f>
        <v>Facilities</v>
      </c>
      <c r="E401" s="6">
        <v>1</v>
      </c>
      <c r="F401" s="7">
        <v>81000</v>
      </c>
      <c r="G401" s="7">
        <v>60000</v>
      </c>
      <c r="H401" s="7"/>
      <c r="I401" s="7">
        <f>dataset!$F401-dataset!$J401-dataset!$G401-dataset!$H401</f>
        <v>16200</v>
      </c>
      <c r="J401" s="7">
        <f>dataset!$G401*0.08</f>
        <v>4800</v>
      </c>
      <c r="K401" s="7">
        <f>dataset!$F401*12</f>
        <v>972000</v>
      </c>
      <c r="L401" s="12">
        <f>IF(dataset!$G401&gt;=200000,38%,IF(dataset!$G401&lt;=145000,12.3%,))</f>
        <v>0.12300000000000001</v>
      </c>
      <c r="M401" s="7">
        <f>dataset!$G401*L402*12</f>
        <v>88560.000000000015</v>
      </c>
      <c r="N40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01" s="7">
        <f>dataset!$K401+dataset!$M401</f>
        <v>1060560</v>
      </c>
      <c r="P401" s="7">
        <f>Payroll_Data_Analysis[[#This Row],[Annual Salary + KPI Bonus]]/12/29.3*31</f>
        <v>93507.849829351544</v>
      </c>
      <c r="Q401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401" s="7">
        <f>Payroll_Data_Analysis[[#This Row],[Monthly Salary]]*11</f>
        <v>891000</v>
      </c>
      <c r="S401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401" s="7">
        <f>IF(Payroll_Data_Analysis[[#This Row],[Base Salary (Monthly)]]&gt;=200000,69507,IF(Payroll_Data_Analysis[[#This Row],[Base Salary (Monthly)]]&gt;=145000,52684,35103))</f>
        <v>35103</v>
      </c>
      <c r="U401" s="7">
        <f>Payroll_Data_Analysis[[#This Row],[Annual KPI Bonus Reserve]]+Payroll_Data_Analysis[[#This Row],[Vacation Reserve]]+Payroll_Data_Analysis[[#This Row],[11-Month Salary]]</f>
        <v>1073067.8498293515</v>
      </c>
      <c r="V401" s="7">
        <f>Payroll_Data_Analysis[[#This Row],[Payroll Taxes (KPI Bonus)]]+Payroll_Data_Analysis[[#This Row],[Payroll Taxes (Vacation)]]+Payroll_Data_Analysis[[#This Row],[Payroll Taxes (Salary)]]</f>
        <v>324066.49064846418</v>
      </c>
      <c r="W401" s="13">
        <f>Payroll_Data_Analysis[[#This Row],[Total Payroll]]+Payroll_Data_Analysis[[#This Row],[Total Payroll Taxes]]</f>
        <v>1397134.3404778158</v>
      </c>
    </row>
    <row r="402" spans="1:23">
      <c r="A402" s="11" t="s">
        <v>664</v>
      </c>
      <c r="B402" s="5" t="s">
        <v>405</v>
      </c>
      <c r="C402" s="5" t="s">
        <v>733</v>
      </c>
      <c r="D402" s="28" t="str">
        <f>VLOOKUP(Payroll_Data_Analysis[[#This Row],[Position]],Position_Map!$A$2:$B$58,2,FALSE)</f>
        <v>Facilities</v>
      </c>
      <c r="E402" s="6">
        <v>1</v>
      </c>
      <c r="F402" s="7">
        <v>57800</v>
      </c>
      <c r="G402" s="7">
        <v>35000</v>
      </c>
      <c r="H402" s="7"/>
      <c r="I402" s="7">
        <f>dataset!$F402-dataset!$J402-dataset!$G402-dataset!$H402</f>
        <v>20000</v>
      </c>
      <c r="J402" s="7">
        <f>dataset!$G402*0.08</f>
        <v>2800</v>
      </c>
      <c r="K402" s="7">
        <f>dataset!$F402*12</f>
        <v>693600</v>
      </c>
      <c r="L402" s="12">
        <f>IF(dataset!$G402&gt;=200000,38%,IF(dataset!$G402&lt;=145000,12.3%,))</f>
        <v>0.12300000000000001</v>
      </c>
      <c r="M402" s="7">
        <f>dataset!$G402*L403*12</f>
        <v>51660</v>
      </c>
      <c r="N40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2" s="7">
        <f>dataset!$K402+dataset!$M402</f>
        <v>745260</v>
      </c>
      <c r="P402" s="7">
        <f>Payroll_Data_Analysis[[#This Row],[Annual Salary + KPI Bonus]]/12/29.3*31</f>
        <v>65708.361774744029</v>
      </c>
      <c r="Q402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02" s="7">
        <f>Payroll_Data_Analysis[[#This Row],[Monthly Salary]]*11</f>
        <v>635800</v>
      </c>
      <c r="S402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02" s="7">
        <f>IF(Payroll_Data_Analysis[[#This Row],[Base Salary (Monthly)]]&gt;=200000,69507,IF(Payroll_Data_Analysis[[#This Row],[Base Salary (Monthly)]]&gt;=145000,52684,35103))</f>
        <v>35103</v>
      </c>
      <c r="U402" s="7">
        <f>Payroll_Data_Analysis[[#This Row],[Annual KPI Bonus Reserve]]+Payroll_Data_Analysis[[#This Row],[Vacation Reserve]]+Payroll_Data_Analysis[[#This Row],[11-Month Salary]]</f>
        <v>753168.361774744</v>
      </c>
      <c r="V402" s="7">
        <f>Payroll_Data_Analysis[[#This Row],[Payroll Taxes (KPI Bonus)]]+Payroll_Data_Analysis[[#This Row],[Payroll Taxes (Vacation)]]+Payroll_Data_Analysis[[#This Row],[Payroll Taxes (Salary)]]</f>
        <v>227456.8452559727</v>
      </c>
      <c r="W402" s="13">
        <f>Payroll_Data_Analysis[[#This Row],[Total Payroll]]+Payroll_Data_Analysis[[#This Row],[Total Payroll Taxes]]</f>
        <v>980625.2070307167</v>
      </c>
    </row>
    <row r="403" spans="1:23">
      <c r="A403" s="11" t="s">
        <v>664</v>
      </c>
      <c r="B403" s="5" t="s">
        <v>406</v>
      </c>
      <c r="C403" s="5" t="s">
        <v>733</v>
      </c>
      <c r="D403" s="28" t="str">
        <f>VLOOKUP(Payroll_Data_Analysis[[#This Row],[Position]],Position_Map!$A$2:$B$58,2,FALSE)</f>
        <v>Facilities</v>
      </c>
      <c r="E403" s="6">
        <v>1</v>
      </c>
      <c r="F403" s="7">
        <v>57800</v>
      </c>
      <c r="G403" s="7">
        <v>35000</v>
      </c>
      <c r="H403" s="7"/>
      <c r="I403" s="7">
        <f>dataset!$F403-dataset!$J403-dataset!$G403-dataset!$H403</f>
        <v>20000</v>
      </c>
      <c r="J403" s="7">
        <f>dataset!$G403*0.08</f>
        <v>2800</v>
      </c>
      <c r="K403" s="7">
        <f>dataset!$F403*12</f>
        <v>693600</v>
      </c>
      <c r="L403" s="12">
        <f>IF(dataset!$G403&gt;=200000,38%,IF(dataset!$G403&lt;=145000,12.3%,))</f>
        <v>0.12300000000000001</v>
      </c>
      <c r="M403" s="7">
        <f>dataset!$G403*L404*12</f>
        <v>51660</v>
      </c>
      <c r="N40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3" s="7">
        <f>dataset!$K403+dataset!$M403</f>
        <v>745260</v>
      </c>
      <c r="P403" s="7">
        <f>Payroll_Data_Analysis[[#This Row],[Annual Salary + KPI Bonus]]/12/29.3*31</f>
        <v>65708.361774744029</v>
      </c>
      <c r="Q403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03" s="7">
        <f>Payroll_Data_Analysis[[#This Row],[Monthly Salary]]*11</f>
        <v>635800</v>
      </c>
      <c r="S403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03" s="7">
        <f>IF(Payroll_Data_Analysis[[#This Row],[Base Salary (Monthly)]]&gt;=200000,69507,IF(Payroll_Data_Analysis[[#This Row],[Base Salary (Monthly)]]&gt;=145000,52684,35103))</f>
        <v>35103</v>
      </c>
      <c r="U403" s="7">
        <f>Payroll_Data_Analysis[[#This Row],[Annual KPI Bonus Reserve]]+Payroll_Data_Analysis[[#This Row],[Vacation Reserve]]+Payroll_Data_Analysis[[#This Row],[11-Month Salary]]</f>
        <v>753168.361774744</v>
      </c>
      <c r="V403" s="7">
        <f>Payroll_Data_Analysis[[#This Row],[Payroll Taxes (KPI Bonus)]]+Payroll_Data_Analysis[[#This Row],[Payroll Taxes (Vacation)]]+Payroll_Data_Analysis[[#This Row],[Payroll Taxes (Salary)]]</f>
        <v>227456.8452559727</v>
      </c>
      <c r="W403" s="13">
        <f>Payroll_Data_Analysis[[#This Row],[Total Payroll]]+Payroll_Data_Analysis[[#This Row],[Total Payroll Taxes]]</f>
        <v>980625.2070307167</v>
      </c>
    </row>
    <row r="404" spans="1:23">
      <c r="A404" s="11" t="s">
        <v>664</v>
      </c>
      <c r="B404" s="5" t="s">
        <v>407</v>
      </c>
      <c r="C404" s="5" t="s">
        <v>733</v>
      </c>
      <c r="D404" s="28" t="str">
        <f>VLOOKUP(Payroll_Data_Analysis[[#This Row],[Position]],Position_Map!$A$2:$B$58,2,FALSE)</f>
        <v>Facilities</v>
      </c>
      <c r="E404" s="6">
        <v>1</v>
      </c>
      <c r="F404" s="7">
        <v>57800</v>
      </c>
      <c r="G404" s="7">
        <v>35000</v>
      </c>
      <c r="H404" s="7"/>
      <c r="I404" s="7">
        <f>dataset!$F404-dataset!$J404-dataset!$G404-dataset!$H404</f>
        <v>20000</v>
      </c>
      <c r="J404" s="7">
        <f>dataset!$G404*0.08</f>
        <v>2800</v>
      </c>
      <c r="K404" s="7">
        <f>dataset!$F404*12</f>
        <v>693600</v>
      </c>
      <c r="L404" s="12">
        <f>IF(dataset!$G404&gt;=200000,38%,IF(dataset!$G404&lt;=145000,12.3%,))</f>
        <v>0.12300000000000001</v>
      </c>
      <c r="M404" s="7">
        <f>dataset!$G404*L405*12</f>
        <v>51660</v>
      </c>
      <c r="N40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4" s="7">
        <f>dataset!$K404+dataset!$M404</f>
        <v>745260</v>
      </c>
      <c r="P404" s="7">
        <f>Payroll_Data_Analysis[[#This Row],[Annual Salary + KPI Bonus]]/12/29.3*31</f>
        <v>65708.361774744029</v>
      </c>
      <c r="Q404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04" s="7">
        <f>Payroll_Data_Analysis[[#This Row],[Monthly Salary]]*11</f>
        <v>635800</v>
      </c>
      <c r="S404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04" s="7">
        <f>IF(Payroll_Data_Analysis[[#This Row],[Base Salary (Monthly)]]&gt;=200000,69507,IF(Payroll_Data_Analysis[[#This Row],[Base Salary (Monthly)]]&gt;=145000,52684,35103))</f>
        <v>35103</v>
      </c>
      <c r="U404" s="7">
        <f>Payroll_Data_Analysis[[#This Row],[Annual KPI Bonus Reserve]]+Payroll_Data_Analysis[[#This Row],[Vacation Reserve]]+Payroll_Data_Analysis[[#This Row],[11-Month Salary]]</f>
        <v>753168.361774744</v>
      </c>
      <c r="V404" s="7">
        <f>Payroll_Data_Analysis[[#This Row],[Payroll Taxes (KPI Bonus)]]+Payroll_Data_Analysis[[#This Row],[Payroll Taxes (Vacation)]]+Payroll_Data_Analysis[[#This Row],[Payroll Taxes (Salary)]]</f>
        <v>227456.8452559727</v>
      </c>
      <c r="W404" s="13">
        <f>Payroll_Data_Analysis[[#This Row],[Total Payroll]]+Payroll_Data_Analysis[[#This Row],[Total Payroll Taxes]]</f>
        <v>980625.2070307167</v>
      </c>
    </row>
    <row r="405" spans="1:23">
      <c r="A405" s="11" t="s">
        <v>664</v>
      </c>
      <c r="B405" s="5" t="s">
        <v>408</v>
      </c>
      <c r="C405" s="5" t="s">
        <v>733</v>
      </c>
      <c r="D405" s="28" t="str">
        <f>VLOOKUP(Payroll_Data_Analysis[[#This Row],[Position]],Position_Map!$A$2:$B$58,2,FALSE)</f>
        <v>Facilities</v>
      </c>
      <c r="E405" s="6">
        <v>1</v>
      </c>
      <c r="F405" s="7">
        <v>57800</v>
      </c>
      <c r="G405" s="7">
        <v>35000</v>
      </c>
      <c r="H405" s="7"/>
      <c r="I405" s="7">
        <f>dataset!$F405-dataset!$J405-dataset!$G405-dataset!$H405</f>
        <v>20000</v>
      </c>
      <c r="J405" s="7">
        <f>dataset!$G405*0.08</f>
        <v>2800</v>
      </c>
      <c r="K405" s="7">
        <f>dataset!$F405*12</f>
        <v>693600</v>
      </c>
      <c r="L405" s="12">
        <f>IF(dataset!$G405&gt;=200000,38%,IF(dataset!$G405&lt;=145000,12.3%,))</f>
        <v>0.12300000000000001</v>
      </c>
      <c r="M405" s="7">
        <f>dataset!$G405*L406*12</f>
        <v>51660</v>
      </c>
      <c r="N40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5" s="7">
        <f>dataset!$K405+dataset!$M405</f>
        <v>745260</v>
      </c>
      <c r="P405" s="7">
        <f>Payroll_Data_Analysis[[#This Row],[Annual Salary + KPI Bonus]]/12/29.3*31</f>
        <v>65708.361774744029</v>
      </c>
      <c r="Q405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05" s="7">
        <f>Payroll_Data_Analysis[[#This Row],[Monthly Salary]]*11</f>
        <v>635800</v>
      </c>
      <c r="S405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05" s="7">
        <f>IF(Payroll_Data_Analysis[[#This Row],[Base Salary (Monthly)]]&gt;=200000,69507,IF(Payroll_Data_Analysis[[#This Row],[Base Salary (Monthly)]]&gt;=145000,52684,35103))</f>
        <v>35103</v>
      </c>
      <c r="U405" s="7">
        <f>Payroll_Data_Analysis[[#This Row],[Annual KPI Bonus Reserve]]+Payroll_Data_Analysis[[#This Row],[Vacation Reserve]]+Payroll_Data_Analysis[[#This Row],[11-Month Salary]]</f>
        <v>753168.361774744</v>
      </c>
      <c r="V405" s="7">
        <f>Payroll_Data_Analysis[[#This Row],[Payroll Taxes (KPI Bonus)]]+Payroll_Data_Analysis[[#This Row],[Payroll Taxes (Vacation)]]+Payroll_Data_Analysis[[#This Row],[Payroll Taxes (Salary)]]</f>
        <v>227456.8452559727</v>
      </c>
      <c r="W405" s="13">
        <f>Payroll_Data_Analysis[[#This Row],[Total Payroll]]+Payroll_Data_Analysis[[#This Row],[Total Payroll Taxes]]</f>
        <v>980625.2070307167</v>
      </c>
    </row>
    <row r="406" spans="1:23">
      <c r="A406" s="11" t="s">
        <v>664</v>
      </c>
      <c r="B406" s="5" t="s">
        <v>409</v>
      </c>
      <c r="C406" s="5" t="s">
        <v>733</v>
      </c>
      <c r="D406" s="28" t="str">
        <f>VLOOKUP(Payroll_Data_Analysis[[#This Row],[Position]],Position_Map!$A$2:$B$58,2,FALSE)</f>
        <v>Facilities</v>
      </c>
      <c r="E406" s="6">
        <v>1</v>
      </c>
      <c r="F406" s="7">
        <v>57800</v>
      </c>
      <c r="G406" s="7">
        <v>35000</v>
      </c>
      <c r="H406" s="7"/>
      <c r="I406" s="7">
        <f>dataset!$F406-dataset!$J406-dataset!$G406-dataset!$H406</f>
        <v>20000</v>
      </c>
      <c r="J406" s="7">
        <f>dataset!$G406*0.08</f>
        <v>2800</v>
      </c>
      <c r="K406" s="7">
        <f>dataset!$F406*12</f>
        <v>693600</v>
      </c>
      <c r="L406" s="12">
        <f>IF(dataset!$G406&gt;=200000,38%,IF(dataset!$G406&lt;=145000,12.3%,))</f>
        <v>0.12300000000000001</v>
      </c>
      <c r="M406" s="7">
        <f>dataset!$G406*L407*12</f>
        <v>51660</v>
      </c>
      <c r="N40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6" s="7">
        <f>dataset!$K406+dataset!$M406</f>
        <v>745260</v>
      </c>
      <c r="P406" s="7">
        <f>Payroll_Data_Analysis[[#This Row],[Annual Salary + KPI Bonus]]/12/29.3*31</f>
        <v>65708.361774744029</v>
      </c>
      <c r="Q406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06" s="7">
        <f>Payroll_Data_Analysis[[#This Row],[Monthly Salary]]*11</f>
        <v>635800</v>
      </c>
      <c r="S406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06" s="7">
        <f>IF(Payroll_Data_Analysis[[#This Row],[Base Salary (Monthly)]]&gt;=200000,69507,IF(Payroll_Data_Analysis[[#This Row],[Base Salary (Monthly)]]&gt;=145000,52684,35103))</f>
        <v>35103</v>
      </c>
      <c r="U406" s="7">
        <f>Payroll_Data_Analysis[[#This Row],[Annual KPI Bonus Reserve]]+Payroll_Data_Analysis[[#This Row],[Vacation Reserve]]+Payroll_Data_Analysis[[#This Row],[11-Month Salary]]</f>
        <v>753168.361774744</v>
      </c>
      <c r="V406" s="7">
        <f>Payroll_Data_Analysis[[#This Row],[Payroll Taxes (KPI Bonus)]]+Payroll_Data_Analysis[[#This Row],[Payroll Taxes (Vacation)]]+Payroll_Data_Analysis[[#This Row],[Payroll Taxes (Salary)]]</f>
        <v>227456.8452559727</v>
      </c>
      <c r="W406" s="13">
        <f>Payroll_Data_Analysis[[#This Row],[Total Payroll]]+Payroll_Data_Analysis[[#This Row],[Total Payroll Taxes]]</f>
        <v>980625.2070307167</v>
      </c>
    </row>
    <row r="407" spans="1:23">
      <c r="A407" s="11" t="s">
        <v>664</v>
      </c>
      <c r="B407" s="5" t="s">
        <v>410</v>
      </c>
      <c r="C407" s="5" t="s">
        <v>733</v>
      </c>
      <c r="D407" s="28" t="str">
        <f>VLOOKUP(Payroll_Data_Analysis[[#This Row],[Position]],Position_Map!$A$2:$B$58,2,FALSE)</f>
        <v>Facilities</v>
      </c>
      <c r="E407" s="6">
        <v>1</v>
      </c>
      <c r="F407" s="7">
        <v>46000</v>
      </c>
      <c r="G407" s="7">
        <v>35000</v>
      </c>
      <c r="H407" s="7"/>
      <c r="I407" s="7">
        <f>dataset!$F407-dataset!$J407-dataset!$G407-dataset!$H407</f>
        <v>8200</v>
      </c>
      <c r="J407" s="7">
        <f>dataset!$G407*0.08</f>
        <v>2800</v>
      </c>
      <c r="K407" s="7">
        <f>dataset!$F407*12</f>
        <v>552000</v>
      </c>
      <c r="L407" s="12">
        <f>IF(dataset!$G407&gt;=200000,38%,IF(dataset!$G407&lt;=145000,12.3%,))</f>
        <v>0.12300000000000001</v>
      </c>
      <c r="M407" s="7">
        <f>dataset!$G407*L408*12</f>
        <v>51660</v>
      </c>
      <c r="N40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7" s="7">
        <f>dataset!$K407+dataset!$M407</f>
        <v>603660</v>
      </c>
      <c r="P407" s="7">
        <f>Payroll_Data_Analysis[[#This Row],[Annual Salary + KPI Bonus]]/12/29.3*31</f>
        <v>53223.720136518765</v>
      </c>
      <c r="Q40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07" s="7">
        <f>Payroll_Data_Analysis[[#This Row],[Monthly Salary]]*11</f>
        <v>506000</v>
      </c>
      <c r="S40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07" s="7">
        <f>IF(Payroll_Data_Analysis[[#This Row],[Base Salary (Monthly)]]&gt;=200000,69507,IF(Payroll_Data_Analysis[[#This Row],[Base Salary (Monthly)]]&gt;=145000,52684,35103))</f>
        <v>35103</v>
      </c>
      <c r="U407" s="7">
        <f>Payroll_Data_Analysis[[#This Row],[Annual KPI Bonus Reserve]]+Payroll_Data_Analysis[[#This Row],[Vacation Reserve]]+Payroll_Data_Analysis[[#This Row],[11-Month Salary]]</f>
        <v>610883.72013651882</v>
      </c>
      <c r="V407" s="7">
        <f>Payroll_Data_Analysis[[#This Row],[Payroll Taxes (KPI Bonus)]]+Payroll_Data_Analysis[[#This Row],[Payroll Taxes (Vacation)]]+Payroll_Data_Analysis[[#This Row],[Payroll Taxes (Salary)]]</f>
        <v>184486.88348122867</v>
      </c>
      <c r="W407" s="13">
        <f>Payroll_Data_Analysis[[#This Row],[Total Payroll]]+Payroll_Data_Analysis[[#This Row],[Total Payroll Taxes]]</f>
        <v>795370.60361774755</v>
      </c>
    </row>
    <row r="408" spans="1:23">
      <c r="A408" s="11" t="s">
        <v>664</v>
      </c>
      <c r="B408" s="5" t="s">
        <v>411</v>
      </c>
      <c r="C408" s="5" t="s">
        <v>733</v>
      </c>
      <c r="D408" s="28" t="str">
        <f>VLOOKUP(Payroll_Data_Analysis[[#This Row],[Position]],Position_Map!$A$2:$B$58,2,FALSE)</f>
        <v>Facilities</v>
      </c>
      <c r="E408" s="6">
        <v>1</v>
      </c>
      <c r="F408" s="7">
        <v>46000</v>
      </c>
      <c r="G408" s="7">
        <v>35000</v>
      </c>
      <c r="H408" s="7"/>
      <c r="I408" s="7">
        <f>dataset!$F408-dataset!$J408-dataset!$G408-dataset!$H408</f>
        <v>8200</v>
      </c>
      <c r="J408" s="7">
        <f>dataset!$G408*0.08</f>
        <v>2800</v>
      </c>
      <c r="K408" s="7">
        <f>dataset!$F408*12</f>
        <v>552000</v>
      </c>
      <c r="L408" s="12">
        <f>IF(dataset!$G408&gt;=200000,38%,IF(dataset!$G408&lt;=145000,12.3%,))</f>
        <v>0.12300000000000001</v>
      </c>
      <c r="M408" s="7">
        <f>dataset!$G408*L409*12</f>
        <v>51660</v>
      </c>
      <c r="N40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8" s="7">
        <f>dataset!$K408+dataset!$M408</f>
        <v>603660</v>
      </c>
      <c r="P408" s="7">
        <f>Payroll_Data_Analysis[[#This Row],[Annual Salary + KPI Bonus]]/12/29.3*31</f>
        <v>53223.720136518765</v>
      </c>
      <c r="Q40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08" s="7">
        <f>Payroll_Data_Analysis[[#This Row],[Monthly Salary]]*11</f>
        <v>506000</v>
      </c>
      <c r="S40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08" s="7">
        <f>IF(Payroll_Data_Analysis[[#This Row],[Base Salary (Monthly)]]&gt;=200000,69507,IF(Payroll_Data_Analysis[[#This Row],[Base Salary (Monthly)]]&gt;=145000,52684,35103))</f>
        <v>35103</v>
      </c>
      <c r="U408" s="7">
        <f>Payroll_Data_Analysis[[#This Row],[Annual KPI Bonus Reserve]]+Payroll_Data_Analysis[[#This Row],[Vacation Reserve]]+Payroll_Data_Analysis[[#This Row],[11-Month Salary]]</f>
        <v>610883.72013651882</v>
      </c>
      <c r="V408" s="7">
        <f>Payroll_Data_Analysis[[#This Row],[Payroll Taxes (KPI Bonus)]]+Payroll_Data_Analysis[[#This Row],[Payroll Taxes (Vacation)]]+Payroll_Data_Analysis[[#This Row],[Payroll Taxes (Salary)]]</f>
        <v>184486.88348122867</v>
      </c>
      <c r="W408" s="13">
        <f>Payroll_Data_Analysis[[#This Row],[Total Payroll]]+Payroll_Data_Analysis[[#This Row],[Total Payroll Taxes]]</f>
        <v>795370.60361774755</v>
      </c>
    </row>
    <row r="409" spans="1:23">
      <c r="A409" s="11" t="s">
        <v>664</v>
      </c>
      <c r="B409" s="5" t="s">
        <v>412</v>
      </c>
      <c r="C409" s="5" t="s">
        <v>733</v>
      </c>
      <c r="D409" s="28" t="str">
        <f>VLOOKUP(Payroll_Data_Analysis[[#This Row],[Position]],Position_Map!$A$2:$B$58,2,FALSE)</f>
        <v>Facilities</v>
      </c>
      <c r="E409" s="6">
        <v>1</v>
      </c>
      <c r="F409" s="7">
        <v>46000</v>
      </c>
      <c r="G409" s="7">
        <v>35000</v>
      </c>
      <c r="H409" s="7"/>
      <c r="I409" s="7">
        <f>dataset!$F409-dataset!$J409-dataset!$G409-dataset!$H409</f>
        <v>8200</v>
      </c>
      <c r="J409" s="7">
        <f>dataset!$G409*0.08</f>
        <v>2800</v>
      </c>
      <c r="K409" s="7">
        <f>dataset!$F409*12</f>
        <v>552000</v>
      </c>
      <c r="L409" s="12">
        <f>IF(dataset!$G409&gt;=200000,38%,IF(dataset!$G409&lt;=145000,12.3%,))</f>
        <v>0.12300000000000001</v>
      </c>
      <c r="M409" s="7">
        <f>dataset!$G409*L410*12</f>
        <v>51660</v>
      </c>
      <c r="N40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09" s="7">
        <f>dataset!$K409+dataset!$M409</f>
        <v>603660</v>
      </c>
      <c r="P409" s="7">
        <f>Payroll_Data_Analysis[[#This Row],[Annual Salary + KPI Bonus]]/12/29.3*31</f>
        <v>53223.720136518765</v>
      </c>
      <c r="Q40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09" s="7">
        <f>Payroll_Data_Analysis[[#This Row],[Monthly Salary]]*11</f>
        <v>506000</v>
      </c>
      <c r="S40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09" s="7">
        <f>IF(Payroll_Data_Analysis[[#This Row],[Base Salary (Monthly)]]&gt;=200000,69507,IF(Payroll_Data_Analysis[[#This Row],[Base Salary (Monthly)]]&gt;=145000,52684,35103))</f>
        <v>35103</v>
      </c>
      <c r="U409" s="7">
        <f>Payroll_Data_Analysis[[#This Row],[Annual KPI Bonus Reserve]]+Payroll_Data_Analysis[[#This Row],[Vacation Reserve]]+Payroll_Data_Analysis[[#This Row],[11-Month Salary]]</f>
        <v>610883.72013651882</v>
      </c>
      <c r="V409" s="7">
        <f>Payroll_Data_Analysis[[#This Row],[Payroll Taxes (KPI Bonus)]]+Payroll_Data_Analysis[[#This Row],[Payroll Taxes (Vacation)]]+Payroll_Data_Analysis[[#This Row],[Payroll Taxes (Salary)]]</f>
        <v>184486.88348122867</v>
      </c>
      <c r="W409" s="13">
        <f>Payroll_Data_Analysis[[#This Row],[Total Payroll]]+Payroll_Data_Analysis[[#This Row],[Total Payroll Taxes]]</f>
        <v>795370.60361774755</v>
      </c>
    </row>
    <row r="410" spans="1:23">
      <c r="A410" s="11" t="s">
        <v>664</v>
      </c>
      <c r="B410" s="5" t="s">
        <v>413</v>
      </c>
      <c r="C410" s="5" t="s">
        <v>733</v>
      </c>
      <c r="D410" s="28" t="str">
        <f>VLOOKUP(Payroll_Data_Analysis[[#This Row],[Position]],Position_Map!$A$2:$B$58,2,FALSE)</f>
        <v>Facilities</v>
      </c>
      <c r="E410" s="6">
        <v>1</v>
      </c>
      <c r="F410" s="7">
        <v>46000</v>
      </c>
      <c r="G410" s="7">
        <v>35000</v>
      </c>
      <c r="H410" s="7"/>
      <c r="I410" s="7">
        <f>dataset!$F410-dataset!$J410-dataset!$G410-dataset!$H410</f>
        <v>8200</v>
      </c>
      <c r="J410" s="7">
        <f>dataset!$G410*0.08</f>
        <v>2800</v>
      </c>
      <c r="K410" s="7">
        <f>dataset!$F410*12</f>
        <v>552000</v>
      </c>
      <c r="L410" s="12">
        <f>IF(dataset!$G410&gt;=200000,38%,IF(dataset!$G410&lt;=145000,12.3%,))</f>
        <v>0.12300000000000001</v>
      </c>
      <c r="M410" s="7">
        <f>dataset!$G410*L411*12</f>
        <v>51660</v>
      </c>
      <c r="N41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0" s="7">
        <f>dataset!$K410+dataset!$M410</f>
        <v>603660</v>
      </c>
      <c r="P410" s="7">
        <f>Payroll_Data_Analysis[[#This Row],[Annual Salary + KPI Bonus]]/12/29.3*31</f>
        <v>53223.720136518765</v>
      </c>
      <c r="Q41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0" s="7">
        <f>Payroll_Data_Analysis[[#This Row],[Monthly Salary]]*11</f>
        <v>506000</v>
      </c>
      <c r="S41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0" s="7">
        <f>IF(Payroll_Data_Analysis[[#This Row],[Base Salary (Monthly)]]&gt;=200000,69507,IF(Payroll_Data_Analysis[[#This Row],[Base Salary (Monthly)]]&gt;=145000,52684,35103))</f>
        <v>35103</v>
      </c>
      <c r="U410" s="7">
        <f>Payroll_Data_Analysis[[#This Row],[Annual KPI Bonus Reserve]]+Payroll_Data_Analysis[[#This Row],[Vacation Reserve]]+Payroll_Data_Analysis[[#This Row],[11-Month Salary]]</f>
        <v>610883.72013651882</v>
      </c>
      <c r="V410" s="7">
        <f>Payroll_Data_Analysis[[#This Row],[Payroll Taxes (KPI Bonus)]]+Payroll_Data_Analysis[[#This Row],[Payroll Taxes (Vacation)]]+Payroll_Data_Analysis[[#This Row],[Payroll Taxes (Salary)]]</f>
        <v>184486.88348122867</v>
      </c>
      <c r="W410" s="13">
        <f>Payroll_Data_Analysis[[#This Row],[Total Payroll]]+Payroll_Data_Analysis[[#This Row],[Total Payroll Taxes]]</f>
        <v>795370.60361774755</v>
      </c>
    </row>
    <row r="411" spans="1:23">
      <c r="A411" s="11" t="s">
        <v>664</v>
      </c>
      <c r="B411" s="5" t="s">
        <v>414</v>
      </c>
      <c r="C411" s="5" t="s">
        <v>733</v>
      </c>
      <c r="D411" s="28" t="str">
        <f>VLOOKUP(Payroll_Data_Analysis[[#This Row],[Position]],Position_Map!$A$2:$B$58,2,FALSE)</f>
        <v>Facilities</v>
      </c>
      <c r="E411" s="6">
        <v>1</v>
      </c>
      <c r="F411" s="7">
        <v>46000</v>
      </c>
      <c r="G411" s="7">
        <v>35000</v>
      </c>
      <c r="H411" s="7"/>
      <c r="I411" s="7">
        <f>dataset!$F411-dataset!$J411-dataset!$G411-dataset!$H411</f>
        <v>8200</v>
      </c>
      <c r="J411" s="7">
        <f>dataset!$G411*0.08</f>
        <v>2800</v>
      </c>
      <c r="K411" s="7">
        <f>dataset!$F411*12</f>
        <v>552000</v>
      </c>
      <c r="L411" s="12">
        <f>IF(dataset!$G411&gt;=200000,38%,IF(dataset!$G411&lt;=145000,12.3%,))</f>
        <v>0.12300000000000001</v>
      </c>
      <c r="M411" s="7">
        <f>dataset!$G411*L412*12</f>
        <v>51660</v>
      </c>
      <c r="N41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1" s="7">
        <f>dataset!$K411+dataset!$M411</f>
        <v>603660</v>
      </c>
      <c r="P411" s="7">
        <f>Payroll_Data_Analysis[[#This Row],[Annual Salary + KPI Bonus]]/12/29.3*31</f>
        <v>53223.720136518765</v>
      </c>
      <c r="Q41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1" s="7">
        <f>Payroll_Data_Analysis[[#This Row],[Monthly Salary]]*11</f>
        <v>506000</v>
      </c>
      <c r="S41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1" s="7">
        <f>IF(Payroll_Data_Analysis[[#This Row],[Base Salary (Monthly)]]&gt;=200000,69507,IF(Payroll_Data_Analysis[[#This Row],[Base Salary (Monthly)]]&gt;=145000,52684,35103))</f>
        <v>35103</v>
      </c>
      <c r="U411" s="7">
        <f>Payroll_Data_Analysis[[#This Row],[Annual KPI Bonus Reserve]]+Payroll_Data_Analysis[[#This Row],[Vacation Reserve]]+Payroll_Data_Analysis[[#This Row],[11-Month Salary]]</f>
        <v>610883.72013651882</v>
      </c>
      <c r="V411" s="7">
        <f>Payroll_Data_Analysis[[#This Row],[Payroll Taxes (KPI Bonus)]]+Payroll_Data_Analysis[[#This Row],[Payroll Taxes (Vacation)]]+Payroll_Data_Analysis[[#This Row],[Payroll Taxes (Salary)]]</f>
        <v>184486.88348122867</v>
      </c>
      <c r="W411" s="13">
        <f>Payroll_Data_Analysis[[#This Row],[Total Payroll]]+Payroll_Data_Analysis[[#This Row],[Total Payroll Taxes]]</f>
        <v>795370.60361774755</v>
      </c>
    </row>
    <row r="412" spans="1:23">
      <c r="A412" s="11" t="s">
        <v>664</v>
      </c>
      <c r="B412" s="5" t="s">
        <v>415</v>
      </c>
      <c r="C412" s="5" t="s">
        <v>733</v>
      </c>
      <c r="D412" s="28" t="str">
        <f>VLOOKUP(Payroll_Data_Analysis[[#This Row],[Position]],Position_Map!$A$2:$B$58,2,FALSE)</f>
        <v>Facilities</v>
      </c>
      <c r="E412" s="6">
        <v>1</v>
      </c>
      <c r="F412" s="7">
        <v>46000</v>
      </c>
      <c r="G412" s="7">
        <v>35000</v>
      </c>
      <c r="H412" s="7"/>
      <c r="I412" s="7">
        <f>dataset!$F412-dataset!$J412-dataset!$G412-dataset!$H412</f>
        <v>8200</v>
      </c>
      <c r="J412" s="7">
        <f>dataset!$G412*0.08</f>
        <v>2800</v>
      </c>
      <c r="K412" s="7">
        <f>dataset!$F412*12</f>
        <v>552000</v>
      </c>
      <c r="L412" s="12">
        <f>IF(dataset!$G412&gt;=200000,38%,IF(dataset!$G412&lt;=145000,12.3%,))</f>
        <v>0.12300000000000001</v>
      </c>
      <c r="M412" s="7">
        <f>dataset!$G412*L413*12</f>
        <v>51660</v>
      </c>
      <c r="N41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2" s="7">
        <f>dataset!$K412+dataset!$M412</f>
        <v>603660</v>
      </c>
      <c r="P412" s="7">
        <f>Payroll_Data_Analysis[[#This Row],[Annual Salary + KPI Bonus]]/12/29.3*31</f>
        <v>53223.720136518765</v>
      </c>
      <c r="Q412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2" s="7">
        <f>Payroll_Data_Analysis[[#This Row],[Monthly Salary]]*11</f>
        <v>506000</v>
      </c>
      <c r="S41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2" s="7">
        <f>IF(Payroll_Data_Analysis[[#This Row],[Base Salary (Monthly)]]&gt;=200000,69507,IF(Payroll_Data_Analysis[[#This Row],[Base Salary (Monthly)]]&gt;=145000,52684,35103))</f>
        <v>35103</v>
      </c>
      <c r="U412" s="7">
        <f>Payroll_Data_Analysis[[#This Row],[Annual KPI Bonus Reserve]]+Payroll_Data_Analysis[[#This Row],[Vacation Reserve]]+Payroll_Data_Analysis[[#This Row],[11-Month Salary]]</f>
        <v>610883.72013651882</v>
      </c>
      <c r="V412" s="7">
        <f>Payroll_Data_Analysis[[#This Row],[Payroll Taxes (KPI Bonus)]]+Payroll_Data_Analysis[[#This Row],[Payroll Taxes (Vacation)]]+Payroll_Data_Analysis[[#This Row],[Payroll Taxes (Salary)]]</f>
        <v>184486.88348122867</v>
      </c>
      <c r="W412" s="13">
        <f>Payroll_Data_Analysis[[#This Row],[Total Payroll]]+Payroll_Data_Analysis[[#This Row],[Total Payroll Taxes]]</f>
        <v>795370.60361774755</v>
      </c>
    </row>
    <row r="413" spans="1:23">
      <c r="A413" s="11" t="s">
        <v>664</v>
      </c>
      <c r="B413" s="5" t="s">
        <v>416</v>
      </c>
      <c r="C413" s="5" t="s">
        <v>733</v>
      </c>
      <c r="D413" s="28" t="str">
        <f>VLOOKUP(Payroll_Data_Analysis[[#This Row],[Position]],Position_Map!$A$2:$B$58,2,FALSE)</f>
        <v>Facilities</v>
      </c>
      <c r="E413" s="6">
        <v>1</v>
      </c>
      <c r="F413" s="7">
        <v>46000</v>
      </c>
      <c r="G413" s="7">
        <v>35000</v>
      </c>
      <c r="H413" s="7"/>
      <c r="I413" s="7">
        <f>dataset!$F413-dataset!$J413-dataset!$G413-dataset!$H413</f>
        <v>8200</v>
      </c>
      <c r="J413" s="7">
        <f>dataset!$G413*0.08</f>
        <v>2800</v>
      </c>
      <c r="K413" s="7">
        <f>dataset!$F413*12</f>
        <v>552000</v>
      </c>
      <c r="L413" s="12">
        <f>IF(dataset!$G413&gt;=200000,38%,IF(dataset!$G413&lt;=145000,12.3%,))</f>
        <v>0.12300000000000001</v>
      </c>
      <c r="M413" s="7">
        <f>dataset!$G413*L414*12</f>
        <v>51660</v>
      </c>
      <c r="N41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3" s="7">
        <f>dataset!$K413+dataset!$M413</f>
        <v>603660</v>
      </c>
      <c r="P413" s="7">
        <f>Payroll_Data_Analysis[[#This Row],[Annual Salary + KPI Bonus]]/12/29.3*31</f>
        <v>53223.720136518765</v>
      </c>
      <c r="Q413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3" s="7">
        <f>Payroll_Data_Analysis[[#This Row],[Monthly Salary]]*11</f>
        <v>506000</v>
      </c>
      <c r="S413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3" s="7">
        <f>IF(Payroll_Data_Analysis[[#This Row],[Base Salary (Monthly)]]&gt;=200000,69507,IF(Payroll_Data_Analysis[[#This Row],[Base Salary (Monthly)]]&gt;=145000,52684,35103))</f>
        <v>35103</v>
      </c>
      <c r="U413" s="7">
        <f>Payroll_Data_Analysis[[#This Row],[Annual KPI Bonus Reserve]]+Payroll_Data_Analysis[[#This Row],[Vacation Reserve]]+Payroll_Data_Analysis[[#This Row],[11-Month Salary]]</f>
        <v>610883.72013651882</v>
      </c>
      <c r="V413" s="7">
        <f>Payroll_Data_Analysis[[#This Row],[Payroll Taxes (KPI Bonus)]]+Payroll_Data_Analysis[[#This Row],[Payroll Taxes (Vacation)]]+Payroll_Data_Analysis[[#This Row],[Payroll Taxes (Salary)]]</f>
        <v>184486.88348122867</v>
      </c>
      <c r="W413" s="13">
        <f>Payroll_Data_Analysis[[#This Row],[Total Payroll]]+Payroll_Data_Analysis[[#This Row],[Total Payroll Taxes]]</f>
        <v>795370.60361774755</v>
      </c>
    </row>
    <row r="414" spans="1:23">
      <c r="A414" s="11" t="s">
        <v>664</v>
      </c>
      <c r="B414" s="5" t="s">
        <v>417</v>
      </c>
      <c r="C414" s="5" t="s">
        <v>733</v>
      </c>
      <c r="D414" s="28" t="str">
        <f>VLOOKUP(Payroll_Data_Analysis[[#This Row],[Position]],Position_Map!$A$2:$B$58,2,FALSE)</f>
        <v>Facilities</v>
      </c>
      <c r="E414" s="6">
        <v>1</v>
      </c>
      <c r="F414" s="7">
        <v>46000</v>
      </c>
      <c r="G414" s="7">
        <v>35000</v>
      </c>
      <c r="H414" s="7"/>
      <c r="I414" s="7">
        <f>dataset!$F414-dataset!$J414-dataset!$G414-dataset!$H414</f>
        <v>8200</v>
      </c>
      <c r="J414" s="7">
        <f>dataset!$G414*0.08</f>
        <v>2800</v>
      </c>
      <c r="K414" s="7">
        <f>dataset!$F414*12</f>
        <v>552000</v>
      </c>
      <c r="L414" s="12">
        <f>IF(dataset!$G414&gt;=200000,38%,IF(dataset!$G414&lt;=145000,12.3%,))</f>
        <v>0.12300000000000001</v>
      </c>
      <c r="M414" s="7">
        <f>dataset!$G414*L415*12</f>
        <v>51660</v>
      </c>
      <c r="N41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4" s="7">
        <f>dataset!$K414+dataset!$M414</f>
        <v>603660</v>
      </c>
      <c r="P414" s="7">
        <f>Payroll_Data_Analysis[[#This Row],[Annual Salary + KPI Bonus]]/12/29.3*31</f>
        <v>53223.720136518765</v>
      </c>
      <c r="Q41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4" s="7">
        <f>Payroll_Data_Analysis[[#This Row],[Monthly Salary]]*11</f>
        <v>506000</v>
      </c>
      <c r="S41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4" s="7">
        <f>IF(Payroll_Data_Analysis[[#This Row],[Base Salary (Monthly)]]&gt;=200000,69507,IF(Payroll_Data_Analysis[[#This Row],[Base Salary (Monthly)]]&gt;=145000,52684,35103))</f>
        <v>35103</v>
      </c>
      <c r="U414" s="7">
        <f>Payroll_Data_Analysis[[#This Row],[Annual KPI Bonus Reserve]]+Payroll_Data_Analysis[[#This Row],[Vacation Reserve]]+Payroll_Data_Analysis[[#This Row],[11-Month Salary]]</f>
        <v>610883.72013651882</v>
      </c>
      <c r="V414" s="7">
        <f>Payroll_Data_Analysis[[#This Row],[Payroll Taxes (KPI Bonus)]]+Payroll_Data_Analysis[[#This Row],[Payroll Taxes (Vacation)]]+Payroll_Data_Analysis[[#This Row],[Payroll Taxes (Salary)]]</f>
        <v>184486.88348122867</v>
      </c>
      <c r="W414" s="13">
        <f>Payroll_Data_Analysis[[#This Row],[Total Payroll]]+Payroll_Data_Analysis[[#This Row],[Total Payroll Taxes]]</f>
        <v>795370.60361774755</v>
      </c>
    </row>
    <row r="415" spans="1:23">
      <c r="A415" s="11" t="s">
        <v>664</v>
      </c>
      <c r="B415" s="5" t="s">
        <v>418</v>
      </c>
      <c r="C415" s="5" t="s">
        <v>733</v>
      </c>
      <c r="D415" s="28" t="str">
        <f>VLOOKUP(Payroll_Data_Analysis[[#This Row],[Position]],Position_Map!$A$2:$B$58,2,FALSE)</f>
        <v>Facilities</v>
      </c>
      <c r="E415" s="6">
        <v>1</v>
      </c>
      <c r="F415" s="7">
        <v>46000</v>
      </c>
      <c r="G415" s="7">
        <v>35000</v>
      </c>
      <c r="H415" s="7"/>
      <c r="I415" s="7">
        <f>dataset!$F415-dataset!$J415-dataset!$G415-dataset!$H415</f>
        <v>8200</v>
      </c>
      <c r="J415" s="7">
        <f>dataset!$G415*0.08</f>
        <v>2800</v>
      </c>
      <c r="K415" s="7">
        <f>dataset!$F415*12</f>
        <v>552000</v>
      </c>
      <c r="L415" s="12">
        <f>IF(dataset!$G415&gt;=200000,38%,IF(dataset!$G415&lt;=145000,12.3%,))</f>
        <v>0.12300000000000001</v>
      </c>
      <c r="M415" s="7">
        <f>dataset!$G415*L416*12</f>
        <v>51660</v>
      </c>
      <c r="N41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5" s="7">
        <f>dataset!$K415+dataset!$M415</f>
        <v>603660</v>
      </c>
      <c r="P415" s="7">
        <f>Payroll_Data_Analysis[[#This Row],[Annual Salary + KPI Bonus]]/12/29.3*31</f>
        <v>53223.720136518765</v>
      </c>
      <c r="Q41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5" s="7">
        <f>Payroll_Data_Analysis[[#This Row],[Monthly Salary]]*11</f>
        <v>506000</v>
      </c>
      <c r="S41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5" s="7">
        <f>IF(Payroll_Data_Analysis[[#This Row],[Base Salary (Monthly)]]&gt;=200000,69507,IF(Payroll_Data_Analysis[[#This Row],[Base Salary (Monthly)]]&gt;=145000,52684,35103))</f>
        <v>35103</v>
      </c>
      <c r="U415" s="7">
        <f>Payroll_Data_Analysis[[#This Row],[Annual KPI Bonus Reserve]]+Payroll_Data_Analysis[[#This Row],[Vacation Reserve]]+Payroll_Data_Analysis[[#This Row],[11-Month Salary]]</f>
        <v>610883.72013651882</v>
      </c>
      <c r="V415" s="7">
        <f>Payroll_Data_Analysis[[#This Row],[Payroll Taxes (KPI Bonus)]]+Payroll_Data_Analysis[[#This Row],[Payroll Taxes (Vacation)]]+Payroll_Data_Analysis[[#This Row],[Payroll Taxes (Salary)]]</f>
        <v>184486.88348122867</v>
      </c>
      <c r="W415" s="13">
        <f>Payroll_Data_Analysis[[#This Row],[Total Payroll]]+Payroll_Data_Analysis[[#This Row],[Total Payroll Taxes]]</f>
        <v>795370.60361774755</v>
      </c>
    </row>
    <row r="416" spans="1:23">
      <c r="A416" s="11" t="s">
        <v>664</v>
      </c>
      <c r="B416" s="5" t="s">
        <v>419</v>
      </c>
      <c r="C416" s="5" t="s">
        <v>733</v>
      </c>
      <c r="D416" s="28" t="str">
        <f>VLOOKUP(Payroll_Data_Analysis[[#This Row],[Position]],Position_Map!$A$2:$B$58,2,FALSE)</f>
        <v>Facilities</v>
      </c>
      <c r="E416" s="6">
        <v>1</v>
      </c>
      <c r="F416" s="7">
        <v>46000</v>
      </c>
      <c r="G416" s="7">
        <v>35000</v>
      </c>
      <c r="H416" s="7"/>
      <c r="I416" s="7">
        <f>dataset!$F416-dataset!$J416-dataset!$G416-dataset!$H416</f>
        <v>8200</v>
      </c>
      <c r="J416" s="7">
        <f>dataset!$G416*0.08</f>
        <v>2800</v>
      </c>
      <c r="K416" s="7">
        <f>dataset!$F416*12</f>
        <v>552000</v>
      </c>
      <c r="L416" s="12">
        <f>IF(dataset!$G416&gt;=200000,38%,IF(dataset!$G416&lt;=145000,12.3%,))</f>
        <v>0.12300000000000001</v>
      </c>
      <c r="M416" s="7">
        <f>dataset!$G416*L417*12</f>
        <v>51660</v>
      </c>
      <c r="N41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6" s="7">
        <f>dataset!$K416+dataset!$M416</f>
        <v>603660</v>
      </c>
      <c r="P416" s="7">
        <f>Payroll_Data_Analysis[[#This Row],[Annual Salary + KPI Bonus]]/12/29.3*31</f>
        <v>53223.720136518765</v>
      </c>
      <c r="Q41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6" s="7">
        <f>Payroll_Data_Analysis[[#This Row],[Monthly Salary]]*11</f>
        <v>506000</v>
      </c>
      <c r="S41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6" s="7">
        <f>IF(Payroll_Data_Analysis[[#This Row],[Base Salary (Monthly)]]&gt;=200000,69507,IF(Payroll_Data_Analysis[[#This Row],[Base Salary (Monthly)]]&gt;=145000,52684,35103))</f>
        <v>35103</v>
      </c>
      <c r="U416" s="7">
        <f>Payroll_Data_Analysis[[#This Row],[Annual KPI Bonus Reserve]]+Payroll_Data_Analysis[[#This Row],[Vacation Reserve]]+Payroll_Data_Analysis[[#This Row],[11-Month Salary]]</f>
        <v>610883.72013651882</v>
      </c>
      <c r="V416" s="7">
        <f>Payroll_Data_Analysis[[#This Row],[Payroll Taxes (KPI Bonus)]]+Payroll_Data_Analysis[[#This Row],[Payroll Taxes (Vacation)]]+Payroll_Data_Analysis[[#This Row],[Payroll Taxes (Salary)]]</f>
        <v>184486.88348122867</v>
      </c>
      <c r="W416" s="13">
        <f>Payroll_Data_Analysis[[#This Row],[Total Payroll]]+Payroll_Data_Analysis[[#This Row],[Total Payroll Taxes]]</f>
        <v>795370.60361774755</v>
      </c>
    </row>
    <row r="417" spans="1:23">
      <c r="A417" s="11" t="s">
        <v>664</v>
      </c>
      <c r="B417" s="5" t="s">
        <v>420</v>
      </c>
      <c r="C417" s="5" t="s">
        <v>733</v>
      </c>
      <c r="D417" s="28" t="str">
        <f>VLOOKUP(Payroll_Data_Analysis[[#This Row],[Position]],Position_Map!$A$2:$B$58,2,FALSE)</f>
        <v>Facilities</v>
      </c>
      <c r="E417" s="6">
        <v>1</v>
      </c>
      <c r="F417" s="7">
        <v>46000</v>
      </c>
      <c r="G417" s="7">
        <v>35000</v>
      </c>
      <c r="H417" s="7"/>
      <c r="I417" s="7">
        <f>dataset!$F417-dataset!$J417-dataset!$G417-dataset!$H417</f>
        <v>8200</v>
      </c>
      <c r="J417" s="7">
        <f>dataset!$G417*0.08</f>
        <v>2800</v>
      </c>
      <c r="K417" s="7">
        <f>dataset!$F417*12</f>
        <v>552000</v>
      </c>
      <c r="L417" s="12">
        <f>IF(dataset!$G417&gt;=200000,38%,IF(dataset!$G417&lt;=145000,12.3%,))</f>
        <v>0.12300000000000001</v>
      </c>
      <c r="M417" s="7">
        <f>dataset!$G417*L418*12</f>
        <v>51660</v>
      </c>
      <c r="N41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7" s="7">
        <f>dataset!$K417+dataset!$M417</f>
        <v>603660</v>
      </c>
      <c r="P417" s="7">
        <f>Payroll_Data_Analysis[[#This Row],[Annual Salary + KPI Bonus]]/12/29.3*31</f>
        <v>53223.720136518765</v>
      </c>
      <c r="Q41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7" s="7">
        <f>Payroll_Data_Analysis[[#This Row],[Monthly Salary]]*11</f>
        <v>506000</v>
      </c>
      <c r="S41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7" s="7">
        <f>IF(Payroll_Data_Analysis[[#This Row],[Base Salary (Monthly)]]&gt;=200000,69507,IF(Payroll_Data_Analysis[[#This Row],[Base Salary (Monthly)]]&gt;=145000,52684,35103))</f>
        <v>35103</v>
      </c>
      <c r="U417" s="7">
        <f>Payroll_Data_Analysis[[#This Row],[Annual KPI Bonus Reserve]]+Payroll_Data_Analysis[[#This Row],[Vacation Reserve]]+Payroll_Data_Analysis[[#This Row],[11-Month Salary]]</f>
        <v>610883.72013651882</v>
      </c>
      <c r="V417" s="7">
        <f>Payroll_Data_Analysis[[#This Row],[Payroll Taxes (KPI Bonus)]]+Payroll_Data_Analysis[[#This Row],[Payroll Taxes (Vacation)]]+Payroll_Data_Analysis[[#This Row],[Payroll Taxes (Salary)]]</f>
        <v>184486.88348122867</v>
      </c>
      <c r="W417" s="13">
        <f>Payroll_Data_Analysis[[#This Row],[Total Payroll]]+Payroll_Data_Analysis[[#This Row],[Total Payroll Taxes]]</f>
        <v>795370.60361774755</v>
      </c>
    </row>
    <row r="418" spans="1:23">
      <c r="A418" s="11" t="s">
        <v>664</v>
      </c>
      <c r="B418" s="5" t="s">
        <v>421</v>
      </c>
      <c r="C418" s="5" t="s">
        <v>733</v>
      </c>
      <c r="D418" s="28" t="str">
        <f>VLOOKUP(Payroll_Data_Analysis[[#This Row],[Position]],Position_Map!$A$2:$B$58,2,FALSE)</f>
        <v>Facilities</v>
      </c>
      <c r="E418" s="6">
        <v>1</v>
      </c>
      <c r="F418" s="7">
        <v>46000</v>
      </c>
      <c r="G418" s="7">
        <v>35000</v>
      </c>
      <c r="H418" s="7"/>
      <c r="I418" s="7">
        <f>dataset!$F418-dataset!$J418-dataset!$G418-dataset!$H418</f>
        <v>8200</v>
      </c>
      <c r="J418" s="7">
        <f>dataset!$G418*0.08</f>
        <v>2800</v>
      </c>
      <c r="K418" s="7">
        <f>dataset!$F418*12</f>
        <v>552000</v>
      </c>
      <c r="L418" s="12">
        <f>IF(dataset!$G418&gt;=200000,38%,IF(dataset!$G418&lt;=145000,12.3%,))</f>
        <v>0.12300000000000001</v>
      </c>
      <c r="M418" s="7">
        <f>dataset!$G418*L419*12</f>
        <v>51660</v>
      </c>
      <c r="N41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8" s="7">
        <f>dataset!$K418+dataset!$M418</f>
        <v>603660</v>
      </c>
      <c r="P418" s="7">
        <f>Payroll_Data_Analysis[[#This Row],[Annual Salary + KPI Bonus]]/12/29.3*31</f>
        <v>53223.720136518765</v>
      </c>
      <c r="Q41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8" s="7">
        <f>Payroll_Data_Analysis[[#This Row],[Monthly Salary]]*11</f>
        <v>506000</v>
      </c>
      <c r="S41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8" s="7">
        <f>IF(Payroll_Data_Analysis[[#This Row],[Base Salary (Monthly)]]&gt;=200000,69507,IF(Payroll_Data_Analysis[[#This Row],[Base Salary (Monthly)]]&gt;=145000,52684,35103))</f>
        <v>35103</v>
      </c>
      <c r="U418" s="7">
        <f>Payroll_Data_Analysis[[#This Row],[Annual KPI Bonus Reserve]]+Payroll_Data_Analysis[[#This Row],[Vacation Reserve]]+Payroll_Data_Analysis[[#This Row],[11-Month Salary]]</f>
        <v>610883.72013651882</v>
      </c>
      <c r="V418" s="7">
        <f>Payroll_Data_Analysis[[#This Row],[Payroll Taxes (KPI Bonus)]]+Payroll_Data_Analysis[[#This Row],[Payroll Taxes (Vacation)]]+Payroll_Data_Analysis[[#This Row],[Payroll Taxes (Salary)]]</f>
        <v>184486.88348122867</v>
      </c>
      <c r="W418" s="13">
        <f>Payroll_Data_Analysis[[#This Row],[Total Payroll]]+Payroll_Data_Analysis[[#This Row],[Total Payroll Taxes]]</f>
        <v>795370.60361774755</v>
      </c>
    </row>
    <row r="419" spans="1:23">
      <c r="A419" s="11" t="s">
        <v>664</v>
      </c>
      <c r="B419" s="5" t="s">
        <v>422</v>
      </c>
      <c r="C419" s="5" t="s">
        <v>733</v>
      </c>
      <c r="D419" s="28" t="str">
        <f>VLOOKUP(Payroll_Data_Analysis[[#This Row],[Position]],Position_Map!$A$2:$B$58,2,FALSE)</f>
        <v>Facilities</v>
      </c>
      <c r="E419" s="6">
        <v>1</v>
      </c>
      <c r="F419" s="7">
        <v>46000</v>
      </c>
      <c r="G419" s="7">
        <v>35000</v>
      </c>
      <c r="H419" s="7"/>
      <c r="I419" s="7">
        <f>dataset!$F419-dataset!$J419-dataset!$G419-dataset!$H419</f>
        <v>8200</v>
      </c>
      <c r="J419" s="7">
        <f>dataset!$G419*0.08</f>
        <v>2800</v>
      </c>
      <c r="K419" s="7">
        <f>dataset!$F419*12</f>
        <v>552000</v>
      </c>
      <c r="L419" s="12">
        <f>IF(dataset!$G419&gt;=200000,38%,IF(dataset!$G419&lt;=145000,12.3%,))</f>
        <v>0.12300000000000001</v>
      </c>
      <c r="M419" s="7">
        <f>dataset!$G419*L420*12</f>
        <v>51660</v>
      </c>
      <c r="N41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19" s="7">
        <f>dataset!$K419+dataset!$M419</f>
        <v>603660</v>
      </c>
      <c r="P419" s="7">
        <f>Payroll_Data_Analysis[[#This Row],[Annual Salary + KPI Bonus]]/12/29.3*31</f>
        <v>53223.720136518765</v>
      </c>
      <c r="Q41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19" s="7">
        <f>Payroll_Data_Analysis[[#This Row],[Monthly Salary]]*11</f>
        <v>506000</v>
      </c>
      <c r="S41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19" s="7">
        <f>IF(Payroll_Data_Analysis[[#This Row],[Base Salary (Monthly)]]&gt;=200000,69507,IF(Payroll_Data_Analysis[[#This Row],[Base Salary (Monthly)]]&gt;=145000,52684,35103))</f>
        <v>35103</v>
      </c>
      <c r="U419" s="7">
        <f>Payroll_Data_Analysis[[#This Row],[Annual KPI Bonus Reserve]]+Payroll_Data_Analysis[[#This Row],[Vacation Reserve]]+Payroll_Data_Analysis[[#This Row],[11-Month Salary]]</f>
        <v>610883.72013651882</v>
      </c>
      <c r="V419" s="7">
        <f>Payroll_Data_Analysis[[#This Row],[Payroll Taxes (KPI Bonus)]]+Payroll_Data_Analysis[[#This Row],[Payroll Taxes (Vacation)]]+Payroll_Data_Analysis[[#This Row],[Payroll Taxes (Salary)]]</f>
        <v>184486.88348122867</v>
      </c>
      <c r="W419" s="13">
        <f>Payroll_Data_Analysis[[#This Row],[Total Payroll]]+Payroll_Data_Analysis[[#This Row],[Total Payroll Taxes]]</f>
        <v>795370.60361774755</v>
      </c>
    </row>
    <row r="420" spans="1:23">
      <c r="A420" s="11" t="s">
        <v>664</v>
      </c>
      <c r="B420" s="5" t="s">
        <v>423</v>
      </c>
      <c r="C420" s="5" t="s">
        <v>733</v>
      </c>
      <c r="D420" s="28" t="str">
        <f>VLOOKUP(Payroll_Data_Analysis[[#This Row],[Position]],Position_Map!$A$2:$B$58,2,FALSE)</f>
        <v>Facilities</v>
      </c>
      <c r="E420" s="6">
        <v>1</v>
      </c>
      <c r="F420" s="7">
        <v>46000</v>
      </c>
      <c r="G420" s="7">
        <v>35000</v>
      </c>
      <c r="H420" s="7"/>
      <c r="I420" s="7">
        <f>dataset!$F420-dataset!$J420-dataset!$G420-dataset!$H420</f>
        <v>8200</v>
      </c>
      <c r="J420" s="7">
        <f>dataset!$G420*0.08</f>
        <v>2800</v>
      </c>
      <c r="K420" s="7">
        <f>dataset!$F420*12</f>
        <v>552000</v>
      </c>
      <c r="L420" s="12">
        <f>IF(dataset!$G420&gt;=200000,38%,IF(dataset!$G420&lt;=145000,12.3%,))</f>
        <v>0.12300000000000001</v>
      </c>
      <c r="M420" s="7">
        <f>dataset!$G420*L421*12</f>
        <v>51660</v>
      </c>
      <c r="N42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0" s="7">
        <f>dataset!$K420+dataset!$M420</f>
        <v>603660</v>
      </c>
      <c r="P420" s="7">
        <f>Payroll_Data_Analysis[[#This Row],[Annual Salary + KPI Bonus]]/12/29.3*31</f>
        <v>53223.720136518765</v>
      </c>
      <c r="Q42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0" s="7">
        <f>Payroll_Data_Analysis[[#This Row],[Monthly Salary]]*11</f>
        <v>506000</v>
      </c>
      <c r="S42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0" s="7">
        <f>IF(Payroll_Data_Analysis[[#This Row],[Base Salary (Monthly)]]&gt;=200000,69507,IF(Payroll_Data_Analysis[[#This Row],[Base Salary (Monthly)]]&gt;=145000,52684,35103))</f>
        <v>35103</v>
      </c>
      <c r="U420" s="7">
        <f>Payroll_Data_Analysis[[#This Row],[Annual KPI Bonus Reserve]]+Payroll_Data_Analysis[[#This Row],[Vacation Reserve]]+Payroll_Data_Analysis[[#This Row],[11-Month Salary]]</f>
        <v>610883.72013651882</v>
      </c>
      <c r="V420" s="7">
        <f>Payroll_Data_Analysis[[#This Row],[Payroll Taxes (KPI Bonus)]]+Payroll_Data_Analysis[[#This Row],[Payroll Taxes (Vacation)]]+Payroll_Data_Analysis[[#This Row],[Payroll Taxes (Salary)]]</f>
        <v>184486.88348122867</v>
      </c>
      <c r="W420" s="13">
        <f>Payroll_Data_Analysis[[#This Row],[Total Payroll]]+Payroll_Data_Analysis[[#This Row],[Total Payroll Taxes]]</f>
        <v>795370.60361774755</v>
      </c>
    </row>
    <row r="421" spans="1:23">
      <c r="A421" s="11" t="s">
        <v>664</v>
      </c>
      <c r="B421" s="5" t="s">
        <v>424</v>
      </c>
      <c r="C421" s="5" t="s">
        <v>733</v>
      </c>
      <c r="D421" s="28" t="str">
        <f>VLOOKUP(Payroll_Data_Analysis[[#This Row],[Position]],Position_Map!$A$2:$B$58,2,FALSE)</f>
        <v>Facilities</v>
      </c>
      <c r="E421" s="6">
        <v>1</v>
      </c>
      <c r="F421" s="7">
        <v>46000</v>
      </c>
      <c r="G421" s="7">
        <v>35000</v>
      </c>
      <c r="H421" s="7"/>
      <c r="I421" s="7">
        <f>dataset!$F421-dataset!$J421-dataset!$G421-dataset!$H421</f>
        <v>8200</v>
      </c>
      <c r="J421" s="7">
        <f>dataset!$G421*0.08</f>
        <v>2800</v>
      </c>
      <c r="K421" s="7">
        <f>dataset!$F421*12</f>
        <v>552000</v>
      </c>
      <c r="L421" s="12">
        <f>IF(dataset!$G421&gt;=200000,38%,IF(dataset!$G421&lt;=145000,12.3%,))</f>
        <v>0.12300000000000001</v>
      </c>
      <c r="M421" s="7">
        <f>dataset!$G421*L422*12</f>
        <v>51660</v>
      </c>
      <c r="N42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1" s="7">
        <f>dataset!$K421+dataset!$M421</f>
        <v>603660</v>
      </c>
      <c r="P421" s="7">
        <f>Payroll_Data_Analysis[[#This Row],[Annual Salary + KPI Bonus]]/12/29.3*31</f>
        <v>53223.720136518765</v>
      </c>
      <c r="Q42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1" s="7">
        <f>Payroll_Data_Analysis[[#This Row],[Monthly Salary]]*11</f>
        <v>506000</v>
      </c>
      <c r="S42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1" s="7">
        <f>IF(Payroll_Data_Analysis[[#This Row],[Base Salary (Monthly)]]&gt;=200000,69507,IF(Payroll_Data_Analysis[[#This Row],[Base Salary (Monthly)]]&gt;=145000,52684,35103))</f>
        <v>35103</v>
      </c>
      <c r="U421" s="7">
        <f>Payroll_Data_Analysis[[#This Row],[Annual KPI Bonus Reserve]]+Payroll_Data_Analysis[[#This Row],[Vacation Reserve]]+Payroll_Data_Analysis[[#This Row],[11-Month Salary]]</f>
        <v>610883.72013651882</v>
      </c>
      <c r="V421" s="7">
        <f>Payroll_Data_Analysis[[#This Row],[Payroll Taxes (KPI Bonus)]]+Payroll_Data_Analysis[[#This Row],[Payroll Taxes (Vacation)]]+Payroll_Data_Analysis[[#This Row],[Payroll Taxes (Salary)]]</f>
        <v>184486.88348122867</v>
      </c>
      <c r="W421" s="13">
        <f>Payroll_Data_Analysis[[#This Row],[Total Payroll]]+Payroll_Data_Analysis[[#This Row],[Total Payroll Taxes]]</f>
        <v>795370.60361774755</v>
      </c>
    </row>
    <row r="422" spans="1:23">
      <c r="A422" s="11" t="s">
        <v>664</v>
      </c>
      <c r="B422" s="5" t="s">
        <v>425</v>
      </c>
      <c r="C422" s="5" t="s">
        <v>733</v>
      </c>
      <c r="D422" s="28" t="str">
        <f>VLOOKUP(Payroll_Data_Analysis[[#This Row],[Position]],Position_Map!$A$2:$B$58,2,FALSE)</f>
        <v>Facilities</v>
      </c>
      <c r="E422" s="6">
        <v>1</v>
      </c>
      <c r="F422" s="7">
        <v>46000</v>
      </c>
      <c r="G422" s="7">
        <v>35000</v>
      </c>
      <c r="H422" s="7"/>
      <c r="I422" s="7">
        <f>dataset!$F422-dataset!$J422-dataset!$G422-dataset!$H422</f>
        <v>8200</v>
      </c>
      <c r="J422" s="7">
        <f>dataset!$G422*0.08</f>
        <v>2800</v>
      </c>
      <c r="K422" s="7">
        <f>dataset!$F422*12</f>
        <v>552000</v>
      </c>
      <c r="L422" s="12">
        <f>IF(dataset!$G422&gt;=200000,38%,IF(dataset!$G422&lt;=145000,12.3%,))</f>
        <v>0.12300000000000001</v>
      </c>
      <c r="M422" s="7">
        <f>dataset!$G422*L423*12</f>
        <v>51660</v>
      </c>
      <c r="N42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2" s="7">
        <f>dataset!$K422+dataset!$M422</f>
        <v>603660</v>
      </c>
      <c r="P422" s="7">
        <f>Payroll_Data_Analysis[[#This Row],[Annual Salary + KPI Bonus]]/12/29.3*31</f>
        <v>53223.720136518765</v>
      </c>
      <c r="Q422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2" s="7">
        <f>Payroll_Data_Analysis[[#This Row],[Monthly Salary]]*11</f>
        <v>506000</v>
      </c>
      <c r="S42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2" s="7">
        <f>IF(Payroll_Data_Analysis[[#This Row],[Base Salary (Monthly)]]&gt;=200000,69507,IF(Payroll_Data_Analysis[[#This Row],[Base Salary (Monthly)]]&gt;=145000,52684,35103))</f>
        <v>35103</v>
      </c>
      <c r="U422" s="7">
        <f>Payroll_Data_Analysis[[#This Row],[Annual KPI Bonus Reserve]]+Payroll_Data_Analysis[[#This Row],[Vacation Reserve]]+Payroll_Data_Analysis[[#This Row],[11-Month Salary]]</f>
        <v>610883.72013651882</v>
      </c>
      <c r="V422" s="7">
        <f>Payroll_Data_Analysis[[#This Row],[Payroll Taxes (KPI Bonus)]]+Payroll_Data_Analysis[[#This Row],[Payroll Taxes (Vacation)]]+Payroll_Data_Analysis[[#This Row],[Payroll Taxes (Salary)]]</f>
        <v>184486.88348122867</v>
      </c>
      <c r="W422" s="13">
        <f>Payroll_Data_Analysis[[#This Row],[Total Payroll]]+Payroll_Data_Analysis[[#This Row],[Total Payroll Taxes]]</f>
        <v>795370.60361774755</v>
      </c>
    </row>
    <row r="423" spans="1:23">
      <c r="A423" s="11" t="s">
        <v>664</v>
      </c>
      <c r="B423" s="5" t="s">
        <v>426</v>
      </c>
      <c r="C423" s="5" t="s">
        <v>733</v>
      </c>
      <c r="D423" s="28" t="str">
        <f>VLOOKUP(Payroll_Data_Analysis[[#This Row],[Position]],Position_Map!$A$2:$B$58,2,FALSE)</f>
        <v>Facilities</v>
      </c>
      <c r="E423" s="6">
        <v>1</v>
      </c>
      <c r="F423" s="7">
        <v>46000</v>
      </c>
      <c r="G423" s="7">
        <v>35000</v>
      </c>
      <c r="H423" s="7"/>
      <c r="I423" s="7">
        <f>dataset!$F423-dataset!$J423-dataset!$G423-dataset!$H423</f>
        <v>8200</v>
      </c>
      <c r="J423" s="7">
        <f>dataset!$G423*0.08</f>
        <v>2800</v>
      </c>
      <c r="K423" s="7">
        <f>dataset!$F423*12</f>
        <v>552000</v>
      </c>
      <c r="L423" s="12">
        <f>IF(dataset!$G423&gt;=200000,38%,IF(dataset!$G423&lt;=145000,12.3%,))</f>
        <v>0.12300000000000001</v>
      </c>
      <c r="M423" s="7">
        <f>dataset!$G423*L424*12</f>
        <v>51660</v>
      </c>
      <c r="N42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3" s="7">
        <f>dataset!$K423+dataset!$M423</f>
        <v>603660</v>
      </c>
      <c r="P423" s="7">
        <f>Payroll_Data_Analysis[[#This Row],[Annual Salary + KPI Bonus]]/12/29.3*31</f>
        <v>53223.720136518765</v>
      </c>
      <c r="Q423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3" s="7">
        <f>Payroll_Data_Analysis[[#This Row],[Monthly Salary]]*11</f>
        <v>506000</v>
      </c>
      <c r="S423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3" s="7">
        <f>IF(Payroll_Data_Analysis[[#This Row],[Base Salary (Monthly)]]&gt;=200000,69507,IF(Payroll_Data_Analysis[[#This Row],[Base Salary (Monthly)]]&gt;=145000,52684,35103))</f>
        <v>35103</v>
      </c>
      <c r="U423" s="7">
        <f>Payroll_Data_Analysis[[#This Row],[Annual KPI Bonus Reserve]]+Payroll_Data_Analysis[[#This Row],[Vacation Reserve]]+Payroll_Data_Analysis[[#This Row],[11-Month Salary]]</f>
        <v>610883.72013651882</v>
      </c>
      <c r="V423" s="7">
        <f>Payroll_Data_Analysis[[#This Row],[Payroll Taxes (KPI Bonus)]]+Payroll_Data_Analysis[[#This Row],[Payroll Taxes (Vacation)]]+Payroll_Data_Analysis[[#This Row],[Payroll Taxes (Salary)]]</f>
        <v>184486.88348122867</v>
      </c>
      <c r="W423" s="13">
        <f>Payroll_Data_Analysis[[#This Row],[Total Payroll]]+Payroll_Data_Analysis[[#This Row],[Total Payroll Taxes]]</f>
        <v>795370.60361774755</v>
      </c>
    </row>
    <row r="424" spans="1:23">
      <c r="A424" s="11" t="s">
        <v>664</v>
      </c>
      <c r="B424" s="5" t="s">
        <v>427</v>
      </c>
      <c r="C424" s="5" t="s">
        <v>733</v>
      </c>
      <c r="D424" s="28" t="str">
        <f>VLOOKUP(Payroll_Data_Analysis[[#This Row],[Position]],Position_Map!$A$2:$B$58,2,FALSE)</f>
        <v>Facilities</v>
      </c>
      <c r="E424" s="6">
        <v>1</v>
      </c>
      <c r="F424" s="7">
        <v>46000</v>
      </c>
      <c r="G424" s="7">
        <v>35000</v>
      </c>
      <c r="H424" s="7"/>
      <c r="I424" s="7">
        <f>dataset!$F424-dataset!$J424-dataset!$G424-dataset!$H424</f>
        <v>8200</v>
      </c>
      <c r="J424" s="7">
        <f>dataset!$G424*0.08</f>
        <v>2800</v>
      </c>
      <c r="K424" s="7">
        <f>dataset!$F424*12</f>
        <v>552000</v>
      </c>
      <c r="L424" s="12">
        <f>IF(dataset!$G424&gt;=200000,38%,IF(dataset!$G424&lt;=145000,12.3%,))</f>
        <v>0.12300000000000001</v>
      </c>
      <c r="M424" s="7">
        <f>dataset!$G424*L425*12</f>
        <v>51660</v>
      </c>
      <c r="N42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4" s="7">
        <f>dataset!$K424+dataset!$M424</f>
        <v>603660</v>
      </c>
      <c r="P424" s="7">
        <f>Payroll_Data_Analysis[[#This Row],[Annual Salary + KPI Bonus]]/12/29.3*31</f>
        <v>53223.720136518765</v>
      </c>
      <c r="Q42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4" s="7">
        <f>Payroll_Data_Analysis[[#This Row],[Monthly Salary]]*11</f>
        <v>506000</v>
      </c>
      <c r="S42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4" s="7">
        <f>IF(Payroll_Data_Analysis[[#This Row],[Base Salary (Monthly)]]&gt;=200000,69507,IF(Payroll_Data_Analysis[[#This Row],[Base Salary (Monthly)]]&gt;=145000,52684,35103))</f>
        <v>35103</v>
      </c>
      <c r="U424" s="7">
        <f>Payroll_Data_Analysis[[#This Row],[Annual KPI Bonus Reserve]]+Payroll_Data_Analysis[[#This Row],[Vacation Reserve]]+Payroll_Data_Analysis[[#This Row],[11-Month Salary]]</f>
        <v>610883.72013651882</v>
      </c>
      <c r="V424" s="7">
        <f>Payroll_Data_Analysis[[#This Row],[Payroll Taxes (KPI Bonus)]]+Payroll_Data_Analysis[[#This Row],[Payroll Taxes (Vacation)]]+Payroll_Data_Analysis[[#This Row],[Payroll Taxes (Salary)]]</f>
        <v>184486.88348122867</v>
      </c>
      <c r="W424" s="13">
        <f>Payroll_Data_Analysis[[#This Row],[Total Payroll]]+Payroll_Data_Analysis[[#This Row],[Total Payroll Taxes]]</f>
        <v>795370.60361774755</v>
      </c>
    </row>
    <row r="425" spans="1:23">
      <c r="A425" s="11" t="s">
        <v>664</v>
      </c>
      <c r="B425" s="5" t="s">
        <v>428</v>
      </c>
      <c r="C425" s="5" t="s">
        <v>733</v>
      </c>
      <c r="D425" s="28" t="str">
        <f>VLOOKUP(Payroll_Data_Analysis[[#This Row],[Position]],Position_Map!$A$2:$B$58,2,FALSE)</f>
        <v>Facilities</v>
      </c>
      <c r="E425" s="6">
        <v>1</v>
      </c>
      <c r="F425" s="7">
        <v>46000</v>
      </c>
      <c r="G425" s="7">
        <v>35000</v>
      </c>
      <c r="H425" s="7"/>
      <c r="I425" s="7">
        <f>dataset!$F425-dataset!$J425-dataset!$G425-dataset!$H425</f>
        <v>8200</v>
      </c>
      <c r="J425" s="7">
        <f>dataset!$G425*0.08</f>
        <v>2800</v>
      </c>
      <c r="K425" s="7">
        <f>dataset!$F425*12</f>
        <v>552000</v>
      </c>
      <c r="L425" s="12">
        <f>IF(dataset!$G425&gt;=200000,38%,IF(dataset!$G425&lt;=145000,12.3%,))</f>
        <v>0.12300000000000001</v>
      </c>
      <c r="M425" s="7">
        <f>dataset!$G425*L426*12</f>
        <v>51660</v>
      </c>
      <c r="N42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5" s="7">
        <f>dataset!$K425+dataset!$M425</f>
        <v>603660</v>
      </c>
      <c r="P425" s="7">
        <f>Payroll_Data_Analysis[[#This Row],[Annual Salary + KPI Bonus]]/12/29.3*31</f>
        <v>53223.720136518765</v>
      </c>
      <c r="Q42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5" s="7">
        <f>Payroll_Data_Analysis[[#This Row],[Monthly Salary]]*11</f>
        <v>506000</v>
      </c>
      <c r="S42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5" s="7">
        <f>IF(Payroll_Data_Analysis[[#This Row],[Base Salary (Monthly)]]&gt;=200000,69507,IF(Payroll_Data_Analysis[[#This Row],[Base Salary (Monthly)]]&gt;=145000,52684,35103))</f>
        <v>35103</v>
      </c>
      <c r="U425" s="7">
        <f>Payroll_Data_Analysis[[#This Row],[Annual KPI Bonus Reserve]]+Payroll_Data_Analysis[[#This Row],[Vacation Reserve]]+Payroll_Data_Analysis[[#This Row],[11-Month Salary]]</f>
        <v>610883.72013651882</v>
      </c>
      <c r="V425" s="7">
        <f>Payroll_Data_Analysis[[#This Row],[Payroll Taxes (KPI Bonus)]]+Payroll_Data_Analysis[[#This Row],[Payroll Taxes (Vacation)]]+Payroll_Data_Analysis[[#This Row],[Payroll Taxes (Salary)]]</f>
        <v>184486.88348122867</v>
      </c>
      <c r="W425" s="13">
        <f>Payroll_Data_Analysis[[#This Row],[Total Payroll]]+Payroll_Data_Analysis[[#This Row],[Total Payroll Taxes]]</f>
        <v>795370.60361774755</v>
      </c>
    </row>
    <row r="426" spans="1:23">
      <c r="A426" s="11" t="s">
        <v>664</v>
      </c>
      <c r="B426" s="5" t="s">
        <v>429</v>
      </c>
      <c r="C426" s="5" t="s">
        <v>733</v>
      </c>
      <c r="D426" s="28" t="str">
        <f>VLOOKUP(Payroll_Data_Analysis[[#This Row],[Position]],Position_Map!$A$2:$B$58,2,FALSE)</f>
        <v>Facilities</v>
      </c>
      <c r="E426" s="6">
        <v>1</v>
      </c>
      <c r="F426" s="7">
        <v>46000</v>
      </c>
      <c r="G426" s="7">
        <v>35000</v>
      </c>
      <c r="H426" s="7"/>
      <c r="I426" s="7">
        <f>dataset!$F426-dataset!$J426-dataset!$G426-dataset!$H426</f>
        <v>8200</v>
      </c>
      <c r="J426" s="7">
        <f>dataset!$G426*0.08</f>
        <v>2800</v>
      </c>
      <c r="K426" s="7">
        <f>dataset!$F426*12</f>
        <v>552000</v>
      </c>
      <c r="L426" s="12">
        <f>IF(dataset!$G426&gt;=200000,38%,IF(dataset!$G426&lt;=145000,12.3%,))</f>
        <v>0.12300000000000001</v>
      </c>
      <c r="M426" s="7">
        <f>dataset!$G426*L427*12</f>
        <v>51660</v>
      </c>
      <c r="N42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6" s="7">
        <f>dataset!$K426+dataset!$M426</f>
        <v>603660</v>
      </c>
      <c r="P426" s="7">
        <f>Payroll_Data_Analysis[[#This Row],[Annual Salary + KPI Bonus]]/12/29.3*31</f>
        <v>53223.720136518765</v>
      </c>
      <c r="Q42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6" s="7">
        <f>Payroll_Data_Analysis[[#This Row],[Monthly Salary]]*11</f>
        <v>506000</v>
      </c>
      <c r="S42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6" s="7">
        <f>IF(Payroll_Data_Analysis[[#This Row],[Base Salary (Monthly)]]&gt;=200000,69507,IF(Payroll_Data_Analysis[[#This Row],[Base Salary (Monthly)]]&gt;=145000,52684,35103))</f>
        <v>35103</v>
      </c>
      <c r="U426" s="7">
        <f>Payroll_Data_Analysis[[#This Row],[Annual KPI Bonus Reserve]]+Payroll_Data_Analysis[[#This Row],[Vacation Reserve]]+Payroll_Data_Analysis[[#This Row],[11-Month Salary]]</f>
        <v>610883.72013651882</v>
      </c>
      <c r="V426" s="7">
        <f>Payroll_Data_Analysis[[#This Row],[Payroll Taxes (KPI Bonus)]]+Payroll_Data_Analysis[[#This Row],[Payroll Taxes (Vacation)]]+Payroll_Data_Analysis[[#This Row],[Payroll Taxes (Salary)]]</f>
        <v>184486.88348122867</v>
      </c>
      <c r="W426" s="13">
        <f>Payroll_Data_Analysis[[#This Row],[Total Payroll]]+Payroll_Data_Analysis[[#This Row],[Total Payroll Taxes]]</f>
        <v>795370.60361774755</v>
      </c>
    </row>
    <row r="427" spans="1:23">
      <c r="A427" s="11" t="s">
        <v>664</v>
      </c>
      <c r="B427" s="5" t="s">
        <v>430</v>
      </c>
      <c r="C427" s="5" t="s">
        <v>733</v>
      </c>
      <c r="D427" s="28" t="str">
        <f>VLOOKUP(Payroll_Data_Analysis[[#This Row],[Position]],Position_Map!$A$2:$B$58,2,FALSE)</f>
        <v>Facilities</v>
      </c>
      <c r="E427" s="6">
        <v>1</v>
      </c>
      <c r="F427" s="7">
        <v>46000</v>
      </c>
      <c r="G427" s="7">
        <v>35000</v>
      </c>
      <c r="H427" s="7"/>
      <c r="I427" s="7">
        <f>dataset!$F427-dataset!$J427-dataset!$G427-dataset!$H427</f>
        <v>8200</v>
      </c>
      <c r="J427" s="7">
        <f>dataset!$G427*0.08</f>
        <v>2800</v>
      </c>
      <c r="K427" s="7">
        <f>dataset!$F427*12</f>
        <v>552000</v>
      </c>
      <c r="L427" s="12">
        <f>IF(dataset!$G427&gt;=200000,38%,IF(dataset!$G427&lt;=145000,12.3%,))</f>
        <v>0.12300000000000001</v>
      </c>
      <c r="M427" s="7">
        <f>dataset!$G427*L428*12</f>
        <v>51660</v>
      </c>
      <c r="N42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7" s="7">
        <f>dataset!$K427+dataset!$M427</f>
        <v>603660</v>
      </c>
      <c r="P427" s="7">
        <f>Payroll_Data_Analysis[[#This Row],[Annual Salary + KPI Bonus]]/12/29.3*31</f>
        <v>53223.720136518765</v>
      </c>
      <c r="Q42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7" s="7">
        <f>Payroll_Data_Analysis[[#This Row],[Monthly Salary]]*11</f>
        <v>506000</v>
      </c>
      <c r="S42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7" s="7">
        <f>IF(Payroll_Data_Analysis[[#This Row],[Base Salary (Monthly)]]&gt;=200000,69507,IF(Payroll_Data_Analysis[[#This Row],[Base Salary (Monthly)]]&gt;=145000,52684,35103))</f>
        <v>35103</v>
      </c>
      <c r="U427" s="7">
        <f>Payroll_Data_Analysis[[#This Row],[Annual KPI Bonus Reserve]]+Payroll_Data_Analysis[[#This Row],[Vacation Reserve]]+Payroll_Data_Analysis[[#This Row],[11-Month Salary]]</f>
        <v>610883.72013651882</v>
      </c>
      <c r="V427" s="7">
        <f>Payroll_Data_Analysis[[#This Row],[Payroll Taxes (KPI Bonus)]]+Payroll_Data_Analysis[[#This Row],[Payroll Taxes (Vacation)]]+Payroll_Data_Analysis[[#This Row],[Payroll Taxes (Salary)]]</f>
        <v>184486.88348122867</v>
      </c>
      <c r="W427" s="13">
        <f>Payroll_Data_Analysis[[#This Row],[Total Payroll]]+Payroll_Data_Analysis[[#This Row],[Total Payroll Taxes]]</f>
        <v>795370.60361774755</v>
      </c>
    </row>
    <row r="428" spans="1:23">
      <c r="A428" s="11" t="s">
        <v>664</v>
      </c>
      <c r="B428" s="5" t="s">
        <v>431</v>
      </c>
      <c r="C428" s="5" t="s">
        <v>733</v>
      </c>
      <c r="D428" s="28" t="str">
        <f>VLOOKUP(Payroll_Data_Analysis[[#This Row],[Position]],Position_Map!$A$2:$B$58,2,FALSE)</f>
        <v>Facilities</v>
      </c>
      <c r="E428" s="6">
        <v>1</v>
      </c>
      <c r="F428" s="7">
        <v>46000</v>
      </c>
      <c r="G428" s="7">
        <v>35000</v>
      </c>
      <c r="H428" s="7"/>
      <c r="I428" s="7">
        <f>dataset!$F428-dataset!$J428-dataset!$G428-dataset!$H428</f>
        <v>8200</v>
      </c>
      <c r="J428" s="7">
        <f>dataset!$G428*0.08</f>
        <v>2800</v>
      </c>
      <c r="K428" s="7">
        <f>dataset!$F428*12</f>
        <v>552000</v>
      </c>
      <c r="L428" s="12">
        <f>IF(dataset!$G428&gt;=200000,38%,IF(dataset!$G428&lt;=145000,12.3%,))</f>
        <v>0.12300000000000001</v>
      </c>
      <c r="M428" s="7">
        <f>dataset!$G428*L429*12</f>
        <v>51660</v>
      </c>
      <c r="N42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8" s="7">
        <f>dataset!$K428+dataset!$M428</f>
        <v>603660</v>
      </c>
      <c r="P428" s="7">
        <f>Payroll_Data_Analysis[[#This Row],[Annual Salary + KPI Bonus]]/12/29.3*31</f>
        <v>53223.720136518765</v>
      </c>
      <c r="Q42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8" s="7">
        <f>Payroll_Data_Analysis[[#This Row],[Monthly Salary]]*11</f>
        <v>506000</v>
      </c>
      <c r="S42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8" s="7">
        <f>IF(Payroll_Data_Analysis[[#This Row],[Base Salary (Monthly)]]&gt;=200000,69507,IF(Payroll_Data_Analysis[[#This Row],[Base Salary (Monthly)]]&gt;=145000,52684,35103))</f>
        <v>35103</v>
      </c>
      <c r="U428" s="7">
        <f>Payroll_Data_Analysis[[#This Row],[Annual KPI Bonus Reserve]]+Payroll_Data_Analysis[[#This Row],[Vacation Reserve]]+Payroll_Data_Analysis[[#This Row],[11-Month Salary]]</f>
        <v>610883.72013651882</v>
      </c>
      <c r="V428" s="7">
        <f>Payroll_Data_Analysis[[#This Row],[Payroll Taxes (KPI Bonus)]]+Payroll_Data_Analysis[[#This Row],[Payroll Taxes (Vacation)]]+Payroll_Data_Analysis[[#This Row],[Payroll Taxes (Salary)]]</f>
        <v>184486.88348122867</v>
      </c>
      <c r="W428" s="13">
        <f>Payroll_Data_Analysis[[#This Row],[Total Payroll]]+Payroll_Data_Analysis[[#This Row],[Total Payroll Taxes]]</f>
        <v>795370.60361774755</v>
      </c>
    </row>
    <row r="429" spans="1:23">
      <c r="A429" s="11" t="s">
        <v>664</v>
      </c>
      <c r="B429" s="5" t="s">
        <v>432</v>
      </c>
      <c r="C429" s="5" t="s">
        <v>733</v>
      </c>
      <c r="D429" s="28" t="str">
        <f>VLOOKUP(Payroll_Data_Analysis[[#This Row],[Position]],Position_Map!$A$2:$B$58,2,FALSE)</f>
        <v>Facilities</v>
      </c>
      <c r="E429" s="6">
        <v>1</v>
      </c>
      <c r="F429" s="7">
        <v>46000</v>
      </c>
      <c r="G429" s="7">
        <v>35000</v>
      </c>
      <c r="H429" s="7"/>
      <c r="I429" s="7">
        <f>dataset!$F429-dataset!$J429-dataset!$G429-dataset!$H429</f>
        <v>8200</v>
      </c>
      <c r="J429" s="7">
        <f>dataset!$G429*0.08</f>
        <v>2800</v>
      </c>
      <c r="K429" s="7">
        <f>dataset!$F429*12</f>
        <v>552000</v>
      </c>
      <c r="L429" s="12">
        <f>IF(dataset!$G429&gt;=200000,38%,IF(dataset!$G429&lt;=145000,12.3%,))</f>
        <v>0.12300000000000001</v>
      </c>
      <c r="M429" s="7">
        <f>dataset!$G429*L430*12</f>
        <v>51660</v>
      </c>
      <c r="N42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29" s="7">
        <f>dataset!$K429+dataset!$M429</f>
        <v>603660</v>
      </c>
      <c r="P429" s="7">
        <f>Payroll_Data_Analysis[[#This Row],[Annual Salary + KPI Bonus]]/12/29.3*31</f>
        <v>53223.720136518765</v>
      </c>
      <c r="Q42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29" s="7">
        <f>Payroll_Data_Analysis[[#This Row],[Monthly Salary]]*11</f>
        <v>506000</v>
      </c>
      <c r="S42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29" s="7">
        <f>IF(Payroll_Data_Analysis[[#This Row],[Base Salary (Monthly)]]&gt;=200000,69507,IF(Payroll_Data_Analysis[[#This Row],[Base Salary (Monthly)]]&gt;=145000,52684,35103))</f>
        <v>35103</v>
      </c>
      <c r="U429" s="7">
        <f>Payroll_Data_Analysis[[#This Row],[Annual KPI Bonus Reserve]]+Payroll_Data_Analysis[[#This Row],[Vacation Reserve]]+Payroll_Data_Analysis[[#This Row],[11-Month Salary]]</f>
        <v>610883.72013651882</v>
      </c>
      <c r="V429" s="7">
        <f>Payroll_Data_Analysis[[#This Row],[Payroll Taxes (KPI Bonus)]]+Payroll_Data_Analysis[[#This Row],[Payroll Taxes (Vacation)]]+Payroll_Data_Analysis[[#This Row],[Payroll Taxes (Salary)]]</f>
        <v>184486.88348122867</v>
      </c>
      <c r="W429" s="13">
        <f>Payroll_Data_Analysis[[#This Row],[Total Payroll]]+Payroll_Data_Analysis[[#This Row],[Total Payroll Taxes]]</f>
        <v>795370.60361774755</v>
      </c>
    </row>
    <row r="430" spans="1:23">
      <c r="A430" s="11" t="s">
        <v>664</v>
      </c>
      <c r="B430" s="5" t="s">
        <v>433</v>
      </c>
      <c r="C430" s="5" t="s">
        <v>733</v>
      </c>
      <c r="D430" s="28" t="str">
        <f>VLOOKUP(Payroll_Data_Analysis[[#This Row],[Position]],Position_Map!$A$2:$B$58,2,FALSE)</f>
        <v>Facilities</v>
      </c>
      <c r="E430" s="6">
        <v>1</v>
      </c>
      <c r="F430" s="7">
        <v>46000</v>
      </c>
      <c r="G430" s="7">
        <v>35000</v>
      </c>
      <c r="H430" s="7"/>
      <c r="I430" s="7">
        <f>dataset!$F430-dataset!$J430-dataset!$G430-dataset!$H430</f>
        <v>8200</v>
      </c>
      <c r="J430" s="7">
        <f>dataset!$G430*0.08</f>
        <v>2800</v>
      </c>
      <c r="K430" s="7">
        <f>dataset!$F430*12</f>
        <v>552000</v>
      </c>
      <c r="L430" s="12">
        <f>IF(dataset!$G430&gt;=200000,38%,IF(dataset!$G430&lt;=145000,12.3%,))</f>
        <v>0.12300000000000001</v>
      </c>
      <c r="M430" s="7">
        <f>dataset!$G430*L431*12</f>
        <v>51660</v>
      </c>
      <c r="N43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0" s="7">
        <f>dataset!$K430+dataset!$M430</f>
        <v>603660</v>
      </c>
      <c r="P430" s="7">
        <f>Payroll_Data_Analysis[[#This Row],[Annual Salary + KPI Bonus]]/12/29.3*31</f>
        <v>53223.720136518765</v>
      </c>
      <c r="Q43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0" s="7">
        <f>Payroll_Data_Analysis[[#This Row],[Monthly Salary]]*11</f>
        <v>506000</v>
      </c>
      <c r="S43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0" s="7">
        <f>IF(Payroll_Data_Analysis[[#This Row],[Base Salary (Monthly)]]&gt;=200000,69507,IF(Payroll_Data_Analysis[[#This Row],[Base Salary (Monthly)]]&gt;=145000,52684,35103))</f>
        <v>35103</v>
      </c>
      <c r="U430" s="7">
        <f>Payroll_Data_Analysis[[#This Row],[Annual KPI Bonus Reserve]]+Payroll_Data_Analysis[[#This Row],[Vacation Reserve]]+Payroll_Data_Analysis[[#This Row],[11-Month Salary]]</f>
        <v>610883.72013651882</v>
      </c>
      <c r="V430" s="7">
        <f>Payroll_Data_Analysis[[#This Row],[Payroll Taxes (KPI Bonus)]]+Payroll_Data_Analysis[[#This Row],[Payroll Taxes (Vacation)]]+Payroll_Data_Analysis[[#This Row],[Payroll Taxes (Salary)]]</f>
        <v>184486.88348122867</v>
      </c>
      <c r="W430" s="13">
        <f>Payroll_Data_Analysis[[#This Row],[Total Payroll]]+Payroll_Data_Analysis[[#This Row],[Total Payroll Taxes]]</f>
        <v>795370.60361774755</v>
      </c>
    </row>
    <row r="431" spans="1:23">
      <c r="A431" s="11" t="s">
        <v>664</v>
      </c>
      <c r="B431" s="5" t="s">
        <v>434</v>
      </c>
      <c r="C431" s="5" t="s">
        <v>733</v>
      </c>
      <c r="D431" s="28" t="str">
        <f>VLOOKUP(Payroll_Data_Analysis[[#This Row],[Position]],Position_Map!$A$2:$B$58,2,FALSE)</f>
        <v>Facilities</v>
      </c>
      <c r="E431" s="6">
        <v>1</v>
      </c>
      <c r="F431" s="7">
        <v>46000</v>
      </c>
      <c r="G431" s="7">
        <v>35000</v>
      </c>
      <c r="H431" s="7"/>
      <c r="I431" s="7">
        <f>dataset!$F431-dataset!$J431-dataset!$G431-dataset!$H431</f>
        <v>8200</v>
      </c>
      <c r="J431" s="7">
        <f>dataset!$G431*0.08</f>
        <v>2800</v>
      </c>
      <c r="K431" s="7">
        <f>dataset!$F431*12</f>
        <v>552000</v>
      </c>
      <c r="L431" s="12">
        <f>IF(dataset!$G431&gt;=200000,38%,IF(dataset!$G431&lt;=145000,12.3%,))</f>
        <v>0.12300000000000001</v>
      </c>
      <c r="M431" s="7">
        <f>dataset!$G431*L432*12</f>
        <v>51660</v>
      </c>
      <c r="N43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1" s="7">
        <f>dataset!$K431+dataset!$M431</f>
        <v>603660</v>
      </c>
      <c r="P431" s="7">
        <f>Payroll_Data_Analysis[[#This Row],[Annual Salary + KPI Bonus]]/12/29.3*31</f>
        <v>53223.720136518765</v>
      </c>
      <c r="Q43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1" s="7">
        <f>Payroll_Data_Analysis[[#This Row],[Monthly Salary]]*11</f>
        <v>506000</v>
      </c>
      <c r="S43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1" s="7">
        <f>IF(Payroll_Data_Analysis[[#This Row],[Base Salary (Monthly)]]&gt;=200000,69507,IF(Payroll_Data_Analysis[[#This Row],[Base Salary (Monthly)]]&gt;=145000,52684,35103))</f>
        <v>35103</v>
      </c>
      <c r="U431" s="7">
        <f>Payroll_Data_Analysis[[#This Row],[Annual KPI Bonus Reserve]]+Payroll_Data_Analysis[[#This Row],[Vacation Reserve]]+Payroll_Data_Analysis[[#This Row],[11-Month Salary]]</f>
        <v>610883.72013651882</v>
      </c>
      <c r="V431" s="7">
        <f>Payroll_Data_Analysis[[#This Row],[Payroll Taxes (KPI Bonus)]]+Payroll_Data_Analysis[[#This Row],[Payroll Taxes (Vacation)]]+Payroll_Data_Analysis[[#This Row],[Payroll Taxes (Salary)]]</f>
        <v>184486.88348122867</v>
      </c>
      <c r="W431" s="13">
        <f>Payroll_Data_Analysis[[#This Row],[Total Payroll]]+Payroll_Data_Analysis[[#This Row],[Total Payroll Taxes]]</f>
        <v>795370.60361774755</v>
      </c>
    </row>
    <row r="432" spans="1:23">
      <c r="A432" s="11" t="s">
        <v>664</v>
      </c>
      <c r="B432" s="5" t="s">
        <v>435</v>
      </c>
      <c r="C432" s="5" t="s">
        <v>733</v>
      </c>
      <c r="D432" s="28" t="str">
        <f>VLOOKUP(Payroll_Data_Analysis[[#This Row],[Position]],Position_Map!$A$2:$B$58,2,FALSE)</f>
        <v>Facilities</v>
      </c>
      <c r="E432" s="6">
        <v>1</v>
      </c>
      <c r="F432" s="7">
        <v>46000</v>
      </c>
      <c r="G432" s="7">
        <v>35000</v>
      </c>
      <c r="H432" s="7"/>
      <c r="I432" s="7">
        <f>dataset!$F432-dataset!$J432-dataset!$G432-dataset!$H432</f>
        <v>8200</v>
      </c>
      <c r="J432" s="7">
        <f>dataset!$G432*0.08</f>
        <v>2800</v>
      </c>
      <c r="K432" s="7">
        <f>dataset!$F432*12</f>
        <v>552000</v>
      </c>
      <c r="L432" s="12">
        <f>IF(dataset!$G432&gt;=200000,38%,IF(dataset!$G432&lt;=145000,12.3%,))</f>
        <v>0.12300000000000001</v>
      </c>
      <c r="M432" s="7">
        <f>dataset!$G432*L433*12</f>
        <v>51660</v>
      </c>
      <c r="N43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2" s="7">
        <f>dataset!$K432+dataset!$M432</f>
        <v>603660</v>
      </c>
      <c r="P432" s="7">
        <f>Payroll_Data_Analysis[[#This Row],[Annual Salary + KPI Bonus]]/12/29.3*31</f>
        <v>53223.720136518765</v>
      </c>
      <c r="Q432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2" s="7">
        <f>Payroll_Data_Analysis[[#This Row],[Monthly Salary]]*11</f>
        <v>506000</v>
      </c>
      <c r="S43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2" s="7">
        <f>IF(Payroll_Data_Analysis[[#This Row],[Base Salary (Monthly)]]&gt;=200000,69507,IF(Payroll_Data_Analysis[[#This Row],[Base Salary (Monthly)]]&gt;=145000,52684,35103))</f>
        <v>35103</v>
      </c>
      <c r="U432" s="7">
        <f>Payroll_Data_Analysis[[#This Row],[Annual KPI Bonus Reserve]]+Payroll_Data_Analysis[[#This Row],[Vacation Reserve]]+Payroll_Data_Analysis[[#This Row],[11-Month Salary]]</f>
        <v>610883.72013651882</v>
      </c>
      <c r="V432" s="7">
        <f>Payroll_Data_Analysis[[#This Row],[Payroll Taxes (KPI Bonus)]]+Payroll_Data_Analysis[[#This Row],[Payroll Taxes (Vacation)]]+Payroll_Data_Analysis[[#This Row],[Payroll Taxes (Salary)]]</f>
        <v>184486.88348122867</v>
      </c>
      <c r="W432" s="13">
        <f>Payroll_Data_Analysis[[#This Row],[Total Payroll]]+Payroll_Data_Analysis[[#This Row],[Total Payroll Taxes]]</f>
        <v>795370.60361774755</v>
      </c>
    </row>
    <row r="433" spans="1:23">
      <c r="A433" s="11" t="s">
        <v>664</v>
      </c>
      <c r="B433" s="5" t="s">
        <v>436</v>
      </c>
      <c r="C433" s="5" t="s">
        <v>733</v>
      </c>
      <c r="D433" s="28" t="str">
        <f>VLOOKUP(Payroll_Data_Analysis[[#This Row],[Position]],Position_Map!$A$2:$B$58,2,FALSE)</f>
        <v>Facilities</v>
      </c>
      <c r="E433" s="6">
        <v>1</v>
      </c>
      <c r="F433" s="7">
        <v>46000</v>
      </c>
      <c r="G433" s="7">
        <v>35000</v>
      </c>
      <c r="H433" s="7"/>
      <c r="I433" s="7">
        <f>dataset!$F433-dataset!$J433-dataset!$G433-dataset!$H433</f>
        <v>8200</v>
      </c>
      <c r="J433" s="7">
        <f>dataset!$G433*0.08</f>
        <v>2800</v>
      </c>
      <c r="K433" s="7">
        <f>dataset!$F433*12</f>
        <v>552000</v>
      </c>
      <c r="L433" s="12">
        <f>IF(dataset!$G433&gt;=200000,38%,IF(dataset!$G433&lt;=145000,12.3%,))</f>
        <v>0.12300000000000001</v>
      </c>
      <c r="M433" s="7">
        <f>dataset!$G433*L434*12</f>
        <v>51660</v>
      </c>
      <c r="N43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3" s="7">
        <f>dataset!$K433+dataset!$M433</f>
        <v>603660</v>
      </c>
      <c r="P433" s="7">
        <f>Payroll_Data_Analysis[[#This Row],[Annual Salary + KPI Bonus]]/12/29.3*31</f>
        <v>53223.720136518765</v>
      </c>
      <c r="Q433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3" s="7">
        <f>Payroll_Data_Analysis[[#This Row],[Monthly Salary]]*11</f>
        <v>506000</v>
      </c>
      <c r="S433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3" s="7">
        <f>IF(Payroll_Data_Analysis[[#This Row],[Base Salary (Monthly)]]&gt;=200000,69507,IF(Payroll_Data_Analysis[[#This Row],[Base Salary (Monthly)]]&gt;=145000,52684,35103))</f>
        <v>35103</v>
      </c>
      <c r="U433" s="7">
        <f>Payroll_Data_Analysis[[#This Row],[Annual KPI Bonus Reserve]]+Payroll_Data_Analysis[[#This Row],[Vacation Reserve]]+Payroll_Data_Analysis[[#This Row],[11-Month Salary]]</f>
        <v>610883.72013651882</v>
      </c>
      <c r="V433" s="7">
        <f>Payroll_Data_Analysis[[#This Row],[Payroll Taxes (KPI Bonus)]]+Payroll_Data_Analysis[[#This Row],[Payroll Taxes (Vacation)]]+Payroll_Data_Analysis[[#This Row],[Payroll Taxes (Salary)]]</f>
        <v>184486.88348122867</v>
      </c>
      <c r="W433" s="13">
        <f>Payroll_Data_Analysis[[#This Row],[Total Payroll]]+Payroll_Data_Analysis[[#This Row],[Total Payroll Taxes]]</f>
        <v>795370.60361774755</v>
      </c>
    </row>
    <row r="434" spans="1:23">
      <c r="A434" s="11" t="s">
        <v>664</v>
      </c>
      <c r="B434" s="5" t="s">
        <v>437</v>
      </c>
      <c r="C434" s="5" t="s">
        <v>733</v>
      </c>
      <c r="D434" s="28" t="str">
        <f>VLOOKUP(Payroll_Data_Analysis[[#This Row],[Position]],Position_Map!$A$2:$B$58,2,FALSE)</f>
        <v>Facilities</v>
      </c>
      <c r="E434" s="6">
        <v>1</v>
      </c>
      <c r="F434" s="7">
        <v>46000</v>
      </c>
      <c r="G434" s="7">
        <v>35000</v>
      </c>
      <c r="H434" s="7"/>
      <c r="I434" s="7">
        <f>dataset!$F434-dataset!$J434-dataset!$G434-dataset!$H434</f>
        <v>8200</v>
      </c>
      <c r="J434" s="7">
        <f>dataset!$G434*0.08</f>
        <v>2800</v>
      </c>
      <c r="K434" s="7">
        <f>dataset!$F434*12</f>
        <v>552000</v>
      </c>
      <c r="L434" s="12">
        <f>IF(dataset!$G434&gt;=200000,38%,IF(dataset!$G434&lt;=145000,12.3%,))</f>
        <v>0.12300000000000001</v>
      </c>
      <c r="M434" s="7">
        <f>dataset!$G434*L435*12</f>
        <v>51660</v>
      </c>
      <c r="N43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4" s="7">
        <f>dataset!$K434+dataset!$M434</f>
        <v>603660</v>
      </c>
      <c r="P434" s="7">
        <f>Payroll_Data_Analysis[[#This Row],[Annual Salary + KPI Bonus]]/12/29.3*31</f>
        <v>53223.720136518765</v>
      </c>
      <c r="Q43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4" s="7">
        <f>Payroll_Data_Analysis[[#This Row],[Monthly Salary]]*11</f>
        <v>506000</v>
      </c>
      <c r="S43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4" s="7">
        <f>IF(Payroll_Data_Analysis[[#This Row],[Base Salary (Monthly)]]&gt;=200000,69507,IF(Payroll_Data_Analysis[[#This Row],[Base Salary (Monthly)]]&gt;=145000,52684,35103))</f>
        <v>35103</v>
      </c>
      <c r="U434" s="7">
        <f>Payroll_Data_Analysis[[#This Row],[Annual KPI Bonus Reserve]]+Payroll_Data_Analysis[[#This Row],[Vacation Reserve]]+Payroll_Data_Analysis[[#This Row],[11-Month Salary]]</f>
        <v>610883.72013651882</v>
      </c>
      <c r="V434" s="7">
        <f>Payroll_Data_Analysis[[#This Row],[Payroll Taxes (KPI Bonus)]]+Payroll_Data_Analysis[[#This Row],[Payroll Taxes (Vacation)]]+Payroll_Data_Analysis[[#This Row],[Payroll Taxes (Salary)]]</f>
        <v>184486.88348122867</v>
      </c>
      <c r="W434" s="13">
        <f>Payroll_Data_Analysis[[#This Row],[Total Payroll]]+Payroll_Data_Analysis[[#This Row],[Total Payroll Taxes]]</f>
        <v>795370.60361774755</v>
      </c>
    </row>
    <row r="435" spans="1:23">
      <c r="A435" s="11" t="s">
        <v>664</v>
      </c>
      <c r="B435" s="5" t="s">
        <v>438</v>
      </c>
      <c r="C435" s="5" t="s">
        <v>733</v>
      </c>
      <c r="D435" s="28" t="str">
        <f>VLOOKUP(Payroll_Data_Analysis[[#This Row],[Position]],Position_Map!$A$2:$B$58,2,FALSE)</f>
        <v>Facilities</v>
      </c>
      <c r="E435" s="6">
        <v>1</v>
      </c>
      <c r="F435" s="7">
        <v>46000</v>
      </c>
      <c r="G435" s="7">
        <v>35000</v>
      </c>
      <c r="H435" s="7"/>
      <c r="I435" s="7">
        <f>dataset!$F435-dataset!$J435-dataset!$G435-dataset!$H435</f>
        <v>8200</v>
      </c>
      <c r="J435" s="7">
        <f>dataset!$G435*0.08</f>
        <v>2800</v>
      </c>
      <c r="K435" s="7">
        <f>dataset!$F435*12</f>
        <v>552000</v>
      </c>
      <c r="L435" s="12">
        <f>IF(dataset!$G435&gt;=200000,38%,IF(dataset!$G435&lt;=145000,12.3%,))</f>
        <v>0.12300000000000001</v>
      </c>
      <c r="M435" s="7">
        <f>dataset!$G435*L436*12</f>
        <v>51660</v>
      </c>
      <c r="N43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5" s="7">
        <f>dataset!$K435+dataset!$M435</f>
        <v>603660</v>
      </c>
      <c r="P435" s="7">
        <f>Payroll_Data_Analysis[[#This Row],[Annual Salary + KPI Bonus]]/12/29.3*31</f>
        <v>53223.720136518765</v>
      </c>
      <c r="Q43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5" s="7">
        <f>Payroll_Data_Analysis[[#This Row],[Monthly Salary]]*11</f>
        <v>506000</v>
      </c>
      <c r="S43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5" s="7">
        <f>IF(Payroll_Data_Analysis[[#This Row],[Base Salary (Monthly)]]&gt;=200000,69507,IF(Payroll_Data_Analysis[[#This Row],[Base Salary (Monthly)]]&gt;=145000,52684,35103))</f>
        <v>35103</v>
      </c>
      <c r="U435" s="7">
        <f>Payroll_Data_Analysis[[#This Row],[Annual KPI Bonus Reserve]]+Payroll_Data_Analysis[[#This Row],[Vacation Reserve]]+Payroll_Data_Analysis[[#This Row],[11-Month Salary]]</f>
        <v>610883.72013651882</v>
      </c>
      <c r="V435" s="7">
        <f>Payroll_Data_Analysis[[#This Row],[Payroll Taxes (KPI Bonus)]]+Payroll_Data_Analysis[[#This Row],[Payroll Taxes (Vacation)]]+Payroll_Data_Analysis[[#This Row],[Payroll Taxes (Salary)]]</f>
        <v>184486.88348122867</v>
      </c>
      <c r="W435" s="13">
        <f>Payroll_Data_Analysis[[#This Row],[Total Payroll]]+Payroll_Data_Analysis[[#This Row],[Total Payroll Taxes]]</f>
        <v>795370.60361774755</v>
      </c>
    </row>
    <row r="436" spans="1:23">
      <c r="A436" s="11" t="s">
        <v>664</v>
      </c>
      <c r="B436" s="5" t="s">
        <v>439</v>
      </c>
      <c r="C436" s="5" t="s">
        <v>733</v>
      </c>
      <c r="D436" s="28" t="str">
        <f>VLOOKUP(Payroll_Data_Analysis[[#This Row],[Position]],Position_Map!$A$2:$B$58,2,FALSE)</f>
        <v>Facilities</v>
      </c>
      <c r="E436" s="6">
        <v>1</v>
      </c>
      <c r="F436" s="7">
        <v>46000</v>
      </c>
      <c r="G436" s="7">
        <v>35000</v>
      </c>
      <c r="H436" s="7"/>
      <c r="I436" s="7">
        <f>dataset!$F436-dataset!$J436-dataset!$G436-dataset!$H436</f>
        <v>8200</v>
      </c>
      <c r="J436" s="7">
        <f>dataset!$G436*0.08</f>
        <v>2800</v>
      </c>
      <c r="K436" s="7">
        <f>dataset!$F436*12</f>
        <v>552000</v>
      </c>
      <c r="L436" s="12">
        <f>IF(dataset!$G436&gt;=200000,38%,IF(dataset!$G436&lt;=145000,12.3%,))</f>
        <v>0.12300000000000001</v>
      </c>
      <c r="M436" s="7">
        <f>dataset!$G436*L437*12</f>
        <v>51660</v>
      </c>
      <c r="N43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6" s="7">
        <f>dataset!$K436+dataset!$M436</f>
        <v>603660</v>
      </c>
      <c r="P436" s="7">
        <f>Payroll_Data_Analysis[[#This Row],[Annual Salary + KPI Bonus]]/12/29.3*31</f>
        <v>53223.720136518765</v>
      </c>
      <c r="Q43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6" s="7">
        <f>Payroll_Data_Analysis[[#This Row],[Monthly Salary]]*11</f>
        <v>506000</v>
      </c>
      <c r="S43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6" s="7">
        <f>IF(Payroll_Data_Analysis[[#This Row],[Base Salary (Monthly)]]&gt;=200000,69507,IF(Payroll_Data_Analysis[[#This Row],[Base Salary (Monthly)]]&gt;=145000,52684,35103))</f>
        <v>35103</v>
      </c>
      <c r="U436" s="7">
        <f>Payroll_Data_Analysis[[#This Row],[Annual KPI Bonus Reserve]]+Payroll_Data_Analysis[[#This Row],[Vacation Reserve]]+Payroll_Data_Analysis[[#This Row],[11-Month Salary]]</f>
        <v>610883.72013651882</v>
      </c>
      <c r="V436" s="7">
        <f>Payroll_Data_Analysis[[#This Row],[Payroll Taxes (KPI Bonus)]]+Payroll_Data_Analysis[[#This Row],[Payroll Taxes (Vacation)]]+Payroll_Data_Analysis[[#This Row],[Payroll Taxes (Salary)]]</f>
        <v>184486.88348122867</v>
      </c>
      <c r="W436" s="13">
        <f>Payroll_Data_Analysis[[#This Row],[Total Payroll]]+Payroll_Data_Analysis[[#This Row],[Total Payroll Taxes]]</f>
        <v>795370.60361774755</v>
      </c>
    </row>
    <row r="437" spans="1:23">
      <c r="A437" s="11" t="s">
        <v>664</v>
      </c>
      <c r="B437" s="5" t="s">
        <v>440</v>
      </c>
      <c r="C437" s="5" t="s">
        <v>733</v>
      </c>
      <c r="D437" s="28" t="str">
        <f>VLOOKUP(Payroll_Data_Analysis[[#This Row],[Position]],Position_Map!$A$2:$B$58,2,FALSE)</f>
        <v>Facilities</v>
      </c>
      <c r="E437" s="6">
        <v>1</v>
      </c>
      <c r="F437" s="7">
        <v>46000</v>
      </c>
      <c r="G437" s="7">
        <v>35000</v>
      </c>
      <c r="H437" s="7"/>
      <c r="I437" s="7">
        <f>dataset!$F437-dataset!$J437-dataset!$G437-dataset!$H437</f>
        <v>8200</v>
      </c>
      <c r="J437" s="7">
        <f>dataset!$G437*0.08</f>
        <v>2800</v>
      </c>
      <c r="K437" s="7">
        <f>dataset!$F437*12</f>
        <v>552000</v>
      </c>
      <c r="L437" s="12">
        <f>IF(dataset!$G437&gt;=200000,38%,IF(dataset!$G437&lt;=145000,12.3%,))</f>
        <v>0.12300000000000001</v>
      </c>
      <c r="M437" s="7">
        <f>dataset!$G437*L438*12</f>
        <v>51660</v>
      </c>
      <c r="N43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7" s="7">
        <f>dataset!$K437+dataset!$M437</f>
        <v>603660</v>
      </c>
      <c r="P437" s="7">
        <f>Payroll_Data_Analysis[[#This Row],[Annual Salary + KPI Bonus]]/12/29.3*31</f>
        <v>53223.720136518765</v>
      </c>
      <c r="Q43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7" s="7">
        <f>Payroll_Data_Analysis[[#This Row],[Monthly Salary]]*11</f>
        <v>506000</v>
      </c>
      <c r="S43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7" s="7">
        <f>IF(Payroll_Data_Analysis[[#This Row],[Base Salary (Monthly)]]&gt;=200000,69507,IF(Payroll_Data_Analysis[[#This Row],[Base Salary (Monthly)]]&gt;=145000,52684,35103))</f>
        <v>35103</v>
      </c>
      <c r="U437" s="7">
        <f>Payroll_Data_Analysis[[#This Row],[Annual KPI Bonus Reserve]]+Payroll_Data_Analysis[[#This Row],[Vacation Reserve]]+Payroll_Data_Analysis[[#This Row],[11-Month Salary]]</f>
        <v>610883.72013651882</v>
      </c>
      <c r="V437" s="7">
        <f>Payroll_Data_Analysis[[#This Row],[Payroll Taxes (KPI Bonus)]]+Payroll_Data_Analysis[[#This Row],[Payroll Taxes (Vacation)]]+Payroll_Data_Analysis[[#This Row],[Payroll Taxes (Salary)]]</f>
        <v>184486.88348122867</v>
      </c>
      <c r="W437" s="13">
        <f>Payroll_Data_Analysis[[#This Row],[Total Payroll]]+Payroll_Data_Analysis[[#This Row],[Total Payroll Taxes]]</f>
        <v>795370.60361774755</v>
      </c>
    </row>
    <row r="438" spans="1:23">
      <c r="A438" s="11" t="s">
        <v>664</v>
      </c>
      <c r="B438" s="5" t="s">
        <v>441</v>
      </c>
      <c r="C438" s="5" t="s">
        <v>733</v>
      </c>
      <c r="D438" s="28" t="str">
        <f>VLOOKUP(Payroll_Data_Analysis[[#This Row],[Position]],Position_Map!$A$2:$B$58,2,FALSE)</f>
        <v>Facilities</v>
      </c>
      <c r="E438" s="6">
        <v>1</v>
      </c>
      <c r="F438" s="7">
        <v>46000</v>
      </c>
      <c r="G438" s="7">
        <v>35000</v>
      </c>
      <c r="H438" s="7"/>
      <c r="I438" s="7">
        <f>dataset!$F438-dataset!$J438-dataset!$G438-dataset!$H438</f>
        <v>8200</v>
      </c>
      <c r="J438" s="7">
        <f>dataset!$G438*0.08</f>
        <v>2800</v>
      </c>
      <c r="K438" s="7">
        <f>dataset!$F438*12</f>
        <v>552000</v>
      </c>
      <c r="L438" s="12">
        <f>IF(dataset!$G438&gt;=200000,38%,IF(dataset!$G438&lt;=145000,12.3%,))</f>
        <v>0.12300000000000001</v>
      </c>
      <c r="M438" s="7">
        <f>dataset!$G438*L439*12</f>
        <v>51660</v>
      </c>
      <c r="N43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8" s="7">
        <f>dataset!$K438+dataset!$M438</f>
        <v>603660</v>
      </c>
      <c r="P438" s="7">
        <f>Payroll_Data_Analysis[[#This Row],[Annual Salary + KPI Bonus]]/12/29.3*31</f>
        <v>53223.720136518765</v>
      </c>
      <c r="Q43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8" s="7">
        <f>Payroll_Data_Analysis[[#This Row],[Monthly Salary]]*11</f>
        <v>506000</v>
      </c>
      <c r="S43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8" s="7">
        <f>IF(Payroll_Data_Analysis[[#This Row],[Base Salary (Monthly)]]&gt;=200000,69507,IF(Payroll_Data_Analysis[[#This Row],[Base Salary (Monthly)]]&gt;=145000,52684,35103))</f>
        <v>35103</v>
      </c>
      <c r="U438" s="7">
        <f>Payroll_Data_Analysis[[#This Row],[Annual KPI Bonus Reserve]]+Payroll_Data_Analysis[[#This Row],[Vacation Reserve]]+Payroll_Data_Analysis[[#This Row],[11-Month Salary]]</f>
        <v>610883.72013651882</v>
      </c>
      <c r="V438" s="7">
        <f>Payroll_Data_Analysis[[#This Row],[Payroll Taxes (KPI Bonus)]]+Payroll_Data_Analysis[[#This Row],[Payroll Taxes (Vacation)]]+Payroll_Data_Analysis[[#This Row],[Payroll Taxes (Salary)]]</f>
        <v>184486.88348122867</v>
      </c>
      <c r="W438" s="13">
        <f>Payroll_Data_Analysis[[#This Row],[Total Payroll]]+Payroll_Data_Analysis[[#This Row],[Total Payroll Taxes]]</f>
        <v>795370.60361774755</v>
      </c>
    </row>
    <row r="439" spans="1:23">
      <c r="A439" s="11" t="s">
        <v>664</v>
      </c>
      <c r="B439" s="5" t="s">
        <v>442</v>
      </c>
      <c r="C439" s="5" t="s">
        <v>733</v>
      </c>
      <c r="D439" s="28" t="str">
        <f>VLOOKUP(Payroll_Data_Analysis[[#This Row],[Position]],Position_Map!$A$2:$B$58,2,FALSE)</f>
        <v>Facilities</v>
      </c>
      <c r="E439" s="6">
        <v>1</v>
      </c>
      <c r="F439" s="7">
        <v>46000</v>
      </c>
      <c r="G439" s="7">
        <v>35000</v>
      </c>
      <c r="H439" s="7"/>
      <c r="I439" s="7">
        <f>dataset!$F439-dataset!$J439-dataset!$G439-dataset!$H439</f>
        <v>8200</v>
      </c>
      <c r="J439" s="7">
        <f>dataset!$G439*0.08</f>
        <v>2800</v>
      </c>
      <c r="K439" s="7">
        <f>dataset!$F439*12</f>
        <v>552000</v>
      </c>
      <c r="L439" s="12">
        <f>IF(dataset!$G439&gt;=200000,38%,IF(dataset!$G439&lt;=145000,12.3%,))</f>
        <v>0.12300000000000001</v>
      </c>
      <c r="M439" s="7">
        <f>dataset!$G439*L440*12</f>
        <v>51660</v>
      </c>
      <c r="N43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39" s="7">
        <f>dataset!$K439+dataset!$M439</f>
        <v>603660</v>
      </c>
      <c r="P439" s="7">
        <f>Payroll_Data_Analysis[[#This Row],[Annual Salary + KPI Bonus]]/12/29.3*31</f>
        <v>53223.720136518765</v>
      </c>
      <c r="Q43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39" s="7">
        <f>Payroll_Data_Analysis[[#This Row],[Monthly Salary]]*11</f>
        <v>506000</v>
      </c>
      <c r="S43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39" s="7">
        <f>IF(Payroll_Data_Analysis[[#This Row],[Base Salary (Monthly)]]&gt;=200000,69507,IF(Payroll_Data_Analysis[[#This Row],[Base Salary (Monthly)]]&gt;=145000,52684,35103))</f>
        <v>35103</v>
      </c>
      <c r="U439" s="7">
        <f>Payroll_Data_Analysis[[#This Row],[Annual KPI Bonus Reserve]]+Payroll_Data_Analysis[[#This Row],[Vacation Reserve]]+Payroll_Data_Analysis[[#This Row],[11-Month Salary]]</f>
        <v>610883.72013651882</v>
      </c>
      <c r="V439" s="7">
        <f>Payroll_Data_Analysis[[#This Row],[Payroll Taxes (KPI Bonus)]]+Payroll_Data_Analysis[[#This Row],[Payroll Taxes (Vacation)]]+Payroll_Data_Analysis[[#This Row],[Payroll Taxes (Salary)]]</f>
        <v>184486.88348122867</v>
      </c>
      <c r="W439" s="13">
        <f>Payroll_Data_Analysis[[#This Row],[Total Payroll]]+Payroll_Data_Analysis[[#This Row],[Total Payroll Taxes]]</f>
        <v>795370.60361774755</v>
      </c>
    </row>
    <row r="440" spans="1:23">
      <c r="A440" s="11" t="s">
        <v>664</v>
      </c>
      <c r="B440" s="5" t="s">
        <v>443</v>
      </c>
      <c r="C440" s="5" t="s">
        <v>733</v>
      </c>
      <c r="D440" s="28" t="str">
        <f>VLOOKUP(Payroll_Data_Analysis[[#This Row],[Position]],Position_Map!$A$2:$B$58,2,FALSE)</f>
        <v>Facilities</v>
      </c>
      <c r="E440" s="6">
        <v>1</v>
      </c>
      <c r="F440" s="7">
        <v>46000</v>
      </c>
      <c r="G440" s="7">
        <v>35000</v>
      </c>
      <c r="H440" s="7"/>
      <c r="I440" s="7">
        <f>dataset!$F440-dataset!$J440-dataset!$G440-dataset!$H440</f>
        <v>8200</v>
      </c>
      <c r="J440" s="7">
        <f>dataset!$G440*0.08</f>
        <v>2800</v>
      </c>
      <c r="K440" s="7">
        <f>dataset!$F440*12</f>
        <v>552000</v>
      </c>
      <c r="L440" s="12">
        <f>IF(dataset!$G440&gt;=200000,38%,IF(dataset!$G440&lt;=145000,12.3%,))</f>
        <v>0.12300000000000001</v>
      </c>
      <c r="M440" s="7">
        <f>dataset!$G440*L441*12</f>
        <v>51660</v>
      </c>
      <c r="N44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0" s="7">
        <f>dataset!$K440+dataset!$M440</f>
        <v>603660</v>
      </c>
      <c r="P440" s="7">
        <f>Payroll_Data_Analysis[[#This Row],[Annual Salary + KPI Bonus]]/12/29.3*31</f>
        <v>53223.720136518765</v>
      </c>
      <c r="Q44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0" s="7">
        <f>Payroll_Data_Analysis[[#This Row],[Monthly Salary]]*11</f>
        <v>506000</v>
      </c>
      <c r="S44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0" s="7">
        <f>IF(Payroll_Data_Analysis[[#This Row],[Base Salary (Monthly)]]&gt;=200000,69507,IF(Payroll_Data_Analysis[[#This Row],[Base Salary (Monthly)]]&gt;=145000,52684,35103))</f>
        <v>35103</v>
      </c>
      <c r="U440" s="7">
        <f>Payroll_Data_Analysis[[#This Row],[Annual KPI Bonus Reserve]]+Payroll_Data_Analysis[[#This Row],[Vacation Reserve]]+Payroll_Data_Analysis[[#This Row],[11-Month Salary]]</f>
        <v>610883.72013651882</v>
      </c>
      <c r="V440" s="7">
        <f>Payroll_Data_Analysis[[#This Row],[Payroll Taxes (KPI Bonus)]]+Payroll_Data_Analysis[[#This Row],[Payroll Taxes (Vacation)]]+Payroll_Data_Analysis[[#This Row],[Payroll Taxes (Salary)]]</f>
        <v>184486.88348122867</v>
      </c>
      <c r="W440" s="13">
        <f>Payroll_Data_Analysis[[#This Row],[Total Payroll]]+Payroll_Data_Analysis[[#This Row],[Total Payroll Taxes]]</f>
        <v>795370.60361774755</v>
      </c>
    </row>
    <row r="441" spans="1:23">
      <c r="A441" s="11" t="s">
        <v>664</v>
      </c>
      <c r="B441" s="5" t="s">
        <v>444</v>
      </c>
      <c r="C441" s="5" t="s">
        <v>733</v>
      </c>
      <c r="D441" s="28" t="str">
        <f>VLOOKUP(Payroll_Data_Analysis[[#This Row],[Position]],Position_Map!$A$2:$B$58,2,FALSE)</f>
        <v>Facilities</v>
      </c>
      <c r="E441" s="6">
        <v>1</v>
      </c>
      <c r="F441" s="7">
        <v>46000</v>
      </c>
      <c r="G441" s="7">
        <v>35000</v>
      </c>
      <c r="H441" s="7"/>
      <c r="I441" s="7">
        <f>dataset!$F441-dataset!$J441-dataset!$G441-dataset!$H441</f>
        <v>8200</v>
      </c>
      <c r="J441" s="7">
        <f>dataset!$G441*0.08</f>
        <v>2800</v>
      </c>
      <c r="K441" s="7">
        <f>dataset!$F441*12</f>
        <v>552000</v>
      </c>
      <c r="L441" s="12">
        <f>IF(dataset!$G441&gt;=200000,38%,IF(dataset!$G441&lt;=145000,12.3%,))</f>
        <v>0.12300000000000001</v>
      </c>
      <c r="M441" s="7">
        <f>dataset!$G441*L442*12</f>
        <v>51660</v>
      </c>
      <c r="N44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1" s="7">
        <f>dataset!$K441+dataset!$M441</f>
        <v>603660</v>
      </c>
      <c r="P441" s="7">
        <f>Payroll_Data_Analysis[[#This Row],[Annual Salary + KPI Bonus]]/12/29.3*31</f>
        <v>53223.720136518765</v>
      </c>
      <c r="Q44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1" s="7">
        <f>Payroll_Data_Analysis[[#This Row],[Monthly Salary]]*11</f>
        <v>506000</v>
      </c>
      <c r="S44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1" s="7">
        <f>IF(Payroll_Data_Analysis[[#This Row],[Base Salary (Monthly)]]&gt;=200000,69507,IF(Payroll_Data_Analysis[[#This Row],[Base Salary (Monthly)]]&gt;=145000,52684,35103))</f>
        <v>35103</v>
      </c>
      <c r="U441" s="7">
        <f>Payroll_Data_Analysis[[#This Row],[Annual KPI Bonus Reserve]]+Payroll_Data_Analysis[[#This Row],[Vacation Reserve]]+Payroll_Data_Analysis[[#This Row],[11-Month Salary]]</f>
        <v>610883.72013651882</v>
      </c>
      <c r="V441" s="7">
        <f>Payroll_Data_Analysis[[#This Row],[Payroll Taxes (KPI Bonus)]]+Payroll_Data_Analysis[[#This Row],[Payroll Taxes (Vacation)]]+Payroll_Data_Analysis[[#This Row],[Payroll Taxes (Salary)]]</f>
        <v>184486.88348122867</v>
      </c>
      <c r="W441" s="13">
        <f>Payroll_Data_Analysis[[#This Row],[Total Payroll]]+Payroll_Data_Analysis[[#This Row],[Total Payroll Taxes]]</f>
        <v>795370.60361774755</v>
      </c>
    </row>
    <row r="442" spans="1:23">
      <c r="A442" s="11" t="s">
        <v>664</v>
      </c>
      <c r="B442" s="5" t="s">
        <v>445</v>
      </c>
      <c r="C442" s="5" t="s">
        <v>733</v>
      </c>
      <c r="D442" s="28" t="str">
        <f>VLOOKUP(Payroll_Data_Analysis[[#This Row],[Position]],Position_Map!$A$2:$B$58,2,FALSE)</f>
        <v>Facilities</v>
      </c>
      <c r="E442" s="6">
        <v>1</v>
      </c>
      <c r="F442" s="7">
        <v>57800</v>
      </c>
      <c r="G442" s="7">
        <v>35000</v>
      </c>
      <c r="H442" s="7"/>
      <c r="I442" s="7">
        <f>dataset!$F442-dataset!$J442-dataset!$G442-dataset!$H442</f>
        <v>20000</v>
      </c>
      <c r="J442" s="7">
        <f>dataset!$G442*0.08</f>
        <v>2800</v>
      </c>
      <c r="K442" s="7">
        <f>dataset!$F442*12</f>
        <v>693600</v>
      </c>
      <c r="L442" s="12">
        <f>IF(dataset!$G442&gt;=200000,38%,IF(dataset!$G442&lt;=145000,12.3%,))</f>
        <v>0.12300000000000001</v>
      </c>
      <c r="M442" s="7">
        <f>dataset!$G442*L443*12</f>
        <v>51660</v>
      </c>
      <c r="N44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2" s="7">
        <f>dataset!$K442+dataset!$M442</f>
        <v>745260</v>
      </c>
      <c r="P442" s="7">
        <f>Payroll_Data_Analysis[[#This Row],[Annual Salary + KPI Bonus]]/12/29.3*31</f>
        <v>65708.361774744029</v>
      </c>
      <c r="Q442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42" s="7">
        <f>Payroll_Data_Analysis[[#This Row],[Monthly Salary]]*11</f>
        <v>635800</v>
      </c>
      <c r="S442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42" s="7">
        <f>IF(Payroll_Data_Analysis[[#This Row],[Base Salary (Monthly)]]&gt;=200000,69507,IF(Payroll_Data_Analysis[[#This Row],[Base Salary (Monthly)]]&gt;=145000,52684,35103))</f>
        <v>35103</v>
      </c>
      <c r="U442" s="7">
        <f>Payroll_Data_Analysis[[#This Row],[Annual KPI Bonus Reserve]]+Payroll_Data_Analysis[[#This Row],[Vacation Reserve]]+Payroll_Data_Analysis[[#This Row],[11-Month Salary]]</f>
        <v>753168.361774744</v>
      </c>
      <c r="V442" s="7">
        <f>Payroll_Data_Analysis[[#This Row],[Payroll Taxes (KPI Bonus)]]+Payroll_Data_Analysis[[#This Row],[Payroll Taxes (Vacation)]]+Payroll_Data_Analysis[[#This Row],[Payroll Taxes (Salary)]]</f>
        <v>227456.8452559727</v>
      </c>
      <c r="W442" s="13">
        <f>Payroll_Data_Analysis[[#This Row],[Total Payroll]]+Payroll_Data_Analysis[[#This Row],[Total Payroll Taxes]]</f>
        <v>980625.2070307167</v>
      </c>
    </row>
    <row r="443" spans="1:23">
      <c r="A443" s="11" t="s">
        <v>664</v>
      </c>
      <c r="B443" s="5" t="s">
        <v>446</v>
      </c>
      <c r="C443" s="5" t="s">
        <v>733</v>
      </c>
      <c r="D443" s="28" t="str">
        <f>VLOOKUP(Payroll_Data_Analysis[[#This Row],[Position]],Position_Map!$A$2:$B$58,2,FALSE)</f>
        <v>Facilities</v>
      </c>
      <c r="E443" s="6">
        <v>1</v>
      </c>
      <c r="F443" s="7">
        <v>57800</v>
      </c>
      <c r="G443" s="7">
        <v>35000</v>
      </c>
      <c r="H443" s="7"/>
      <c r="I443" s="7">
        <f>dataset!$F443-dataset!$J443-dataset!$G443-dataset!$H443</f>
        <v>20000</v>
      </c>
      <c r="J443" s="7">
        <f>dataset!$G443*0.08</f>
        <v>2800</v>
      </c>
      <c r="K443" s="7">
        <f>dataset!$F443*12</f>
        <v>693600</v>
      </c>
      <c r="L443" s="12">
        <f>IF(dataset!$G443&gt;=200000,38%,IF(dataset!$G443&lt;=145000,12.3%,))</f>
        <v>0.12300000000000001</v>
      </c>
      <c r="M443" s="7">
        <f>dataset!$G443*L444*12</f>
        <v>51660</v>
      </c>
      <c r="N443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3" s="7">
        <f>dataset!$K443+dataset!$M443</f>
        <v>745260</v>
      </c>
      <c r="P443" s="7">
        <f>Payroll_Data_Analysis[[#This Row],[Annual Salary + KPI Bonus]]/12/29.3*31</f>
        <v>65708.361774744029</v>
      </c>
      <c r="Q443" s="7">
        <f>IF(Payroll_Data_Analysis[[#This Row],[Vacation Reserve]]&lt;=2979000,Payroll_Data_Analysis[[#This Row],[Vacation Reserve]]*0.302,2979000*0.302+(Payroll_Data_Analysis[[#This Row],[Vacation Reserve]]-2979000)*0.151)</f>
        <v>19843.925255972696</v>
      </c>
      <c r="R443" s="7">
        <f>Payroll_Data_Analysis[[#This Row],[Monthly Salary]]*11</f>
        <v>635800</v>
      </c>
      <c r="S443" s="7">
        <f>IF(Payroll_Data_Analysis[[#This Row],[11-Month Salary]]&lt;=2979000,Payroll_Data_Analysis[[#This Row],[11-Month Salary]]*0.302,2979000*0.302+(Payroll_Data_Analysis[[#This Row],[11-Month Salary]]-2979000)*0.151)</f>
        <v>192011.6</v>
      </c>
      <c r="T443" s="7">
        <f>IF(Payroll_Data_Analysis[[#This Row],[Base Salary (Monthly)]]&gt;=200000,69507,IF(Payroll_Data_Analysis[[#This Row],[Base Salary (Monthly)]]&gt;=145000,52684,35103))</f>
        <v>35103</v>
      </c>
      <c r="U443" s="7">
        <f>Payroll_Data_Analysis[[#This Row],[Annual KPI Bonus Reserve]]+Payroll_Data_Analysis[[#This Row],[Vacation Reserve]]+Payroll_Data_Analysis[[#This Row],[11-Month Salary]]</f>
        <v>753168.361774744</v>
      </c>
      <c r="V443" s="7">
        <f>Payroll_Data_Analysis[[#This Row],[Payroll Taxes (KPI Bonus)]]+Payroll_Data_Analysis[[#This Row],[Payroll Taxes (Vacation)]]+Payroll_Data_Analysis[[#This Row],[Payroll Taxes (Salary)]]</f>
        <v>227456.8452559727</v>
      </c>
      <c r="W443" s="13">
        <f>Payroll_Data_Analysis[[#This Row],[Total Payroll]]+Payroll_Data_Analysis[[#This Row],[Total Payroll Taxes]]</f>
        <v>980625.2070307167</v>
      </c>
    </row>
    <row r="444" spans="1:23">
      <c r="A444" s="11" t="s">
        <v>664</v>
      </c>
      <c r="B444" s="5" t="s">
        <v>447</v>
      </c>
      <c r="C444" s="5" t="s">
        <v>733</v>
      </c>
      <c r="D444" s="28" t="str">
        <f>VLOOKUP(Payroll_Data_Analysis[[#This Row],[Position]],Position_Map!$A$2:$B$58,2,FALSE)</f>
        <v>Facilities</v>
      </c>
      <c r="E444" s="6">
        <v>1</v>
      </c>
      <c r="F444" s="7">
        <v>46000</v>
      </c>
      <c r="G444" s="7">
        <v>35000</v>
      </c>
      <c r="H444" s="7"/>
      <c r="I444" s="7">
        <f>dataset!$F444-dataset!$J444-dataset!$G444-dataset!$H444</f>
        <v>8200</v>
      </c>
      <c r="J444" s="7">
        <f>dataset!$G444*0.08</f>
        <v>2800</v>
      </c>
      <c r="K444" s="7">
        <f>dataset!$F444*12</f>
        <v>552000</v>
      </c>
      <c r="L444" s="12">
        <f>IF(dataset!$G444&gt;=200000,38%,IF(dataset!$G444&lt;=145000,12.3%,))</f>
        <v>0.12300000000000001</v>
      </c>
      <c r="M444" s="7">
        <f>dataset!$G444*L445*12</f>
        <v>51660</v>
      </c>
      <c r="N44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4" s="7">
        <f>dataset!$K444+dataset!$M444</f>
        <v>603660</v>
      </c>
      <c r="P444" s="7">
        <f>Payroll_Data_Analysis[[#This Row],[Annual Salary + KPI Bonus]]/12/29.3*31</f>
        <v>53223.720136518765</v>
      </c>
      <c r="Q444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4" s="7">
        <f>Payroll_Data_Analysis[[#This Row],[Monthly Salary]]*11</f>
        <v>506000</v>
      </c>
      <c r="S444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4" s="7">
        <f>IF(Payroll_Data_Analysis[[#This Row],[Base Salary (Monthly)]]&gt;=200000,69507,IF(Payroll_Data_Analysis[[#This Row],[Base Salary (Monthly)]]&gt;=145000,52684,35103))</f>
        <v>35103</v>
      </c>
      <c r="U444" s="7">
        <f>Payroll_Data_Analysis[[#This Row],[Annual KPI Bonus Reserve]]+Payroll_Data_Analysis[[#This Row],[Vacation Reserve]]+Payroll_Data_Analysis[[#This Row],[11-Month Salary]]</f>
        <v>610883.72013651882</v>
      </c>
      <c r="V444" s="7">
        <f>Payroll_Data_Analysis[[#This Row],[Payroll Taxes (KPI Bonus)]]+Payroll_Data_Analysis[[#This Row],[Payroll Taxes (Vacation)]]+Payroll_Data_Analysis[[#This Row],[Payroll Taxes (Salary)]]</f>
        <v>184486.88348122867</v>
      </c>
      <c r="W444" s="13">
        <f>Payroll_Data_Analysis[[#This Row],[Total Payroll]]+Payroll_Data_Analysis[[#This Row],[Total Payroll Taxes]]</f>
        <v>795370.60361774755</v>
      </c>
    </row>
    <row r="445" spans="1:23">
      <c r="A445" s="11" t="s">
        <v>664</v>
      </c>
      <c r="B445" s="5" t="s">
        <v>448</v>
      </c>
      <c r="C445" s="5" t="s">
        <v>733</v>
      </c>
      <c r="D445" s="28" t="str">
        <f>VLOOKUP(Payroll_Data_Analysis[[#This Row],[Position]],Position_Map!$A$2:$B$58,2,FALSE)</f>
        <v>Facilities</v>
      </c>
      <c r="E445" s="6">
        <v>1</v>
      </c>
      <c r="F445" s="7">
        <v>46000</v>
      </c>
      <c r="G445" s="7">
        <v>35000</v>
      </c>
      <c r="H445" s="7"/>
      <c r="I445" s="7">
        <f>dataset!$F445-dataset!$J445-dataset!$G445-dataset!$H445</f>
        <v>8200</v>
      </c>
      <c r="J445" s="7">
        <f>dataset!$G445*0.08</f>
        <v>2800</v>
      </c>
      <c r="K445" s="7">
        <f>dataset!$F445*12</f>
        <v>552000</v>
      </c>
      <c r="L445" s="12">
        <f>IF(dataset!$G445&gt;=200000,38%,IF(dataset!$G445&lt;=145000,12.3%,))</f>
        <v>0.12300000000000001</v>
      </c>
      <c r="M445" s="7">
        <f>dataset!$G445*L446*12</f>
        <v>51660</v>
      </c>
      <c r="N445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5" s="7">
        <f>dataset!$K445+dataset!$M445</f>
        <v>603660</v>
      </c>
      <c r="P445" s="7">
        <f>Payroll_Data_Analysis[[#This Row],[Annual Salary + KPI Bonus]]/12/29.3*31</f>
        <v>53223.720136518765</v>
      </c>
      <c r="Q445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5" s="7">
        <f>Payroll_Data_Analysis[[#This Row],[Monthly Salary]]*11</f>
        <v>506000</v>
      </c>
      <c r="S445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5" s="7">
        <f>IF(Payroll_Data_Analysis[[#This Row],[Base Salary (Monthly)]]&gt;=200000,69507,IF(Payroll_Data_Analysis[[#This Row],[Base Salary (Monthly)]]&gt;=145000,52684,35103))</f>
        <v>35103</v>
      </c>
      <c r="U445" s="7">
        <f>Payroll_Data_Analysis[[#This Row],[Annual KPI Bonus Reserve]]+Payroll_Data_Analysis[[#This Row],[Vacation Reserve]]+Payroll_Data_Analysis[[#This Row],[11-Month Salary]]</f>
        <v>610883.72013651882</v>
      </c>
      <c r="V445" s="7">
        <f>Payroll_Data_Analysis[[#This Row],[Payroll Taxes (KPI Bonus)]]+Payroll_Data_Analysis[[#This Row],[Payroll Taxes (Vacation)]]+Payroll_Data_Analysis[[#This Row],[Payroll Taxes (Salary)]]</f>
        <v>184486.88348122867</v>
      </c>
      <c r="W445" s="13">
        <f>Payroll_Data_Analysis[[#This Row],[Total Payroll]]+Payroll_Data_Analysis[[#This Row],[Total Payroll Taxes]]</f>
        <v>795370.60361774755</v>
      </c>
    </row>
    <row r="446" spans="1:23">
      <c r="A446" s="11" t="s">
        <v>664</v>
      </c>
      <c r="B446" s="5" t="s">
        <v>449</v>
      </c>
      <c r="C446" s="5" t="s">
        <v>733</v>
      </c>
      <c r="D446" s="28" t="str">
        <f>VLOOKUP(Payroll_Data_Analysis[[#This Row],[Position]],Position_Map!$A$2:$B$58,2,FALSE)</f>
        <v>Facilities</v>
      </c>
      <c r="E446" s="6">
        <v>1</v>
      </c>
      <c r="F446" s="7">
        <v>46000</v>
      </c>
      <c r="G446" s="7">
        <v>35000</v>
      </c>
      <c r="H446" s="7"/>
      <c r="I446" s="7">
        <f>dataset!$F446-dataset!$J446-dataset!$G446-dataset!$H446</f>
        <v>8200</v>
      </c>
      <c r="J446" s="7">
        <f>dataset!$G446*0.08</f>
        <v>2800</v>
      </c>
      <c r="K446" s="7">
        <f>dataset!$F446*12</f>
        <v>552000</v>
      </c>
      <c r="L446" s="12">
        <f>IF(dataset!$G446&gt;=200000,38%,IF(dataset!$G446&lt;=145000,12.3%,))</f>
        <v>0.12300000000000001</v>
      </c>
      <c r="M446" s="7">
        <f>dataset!$G446*L447*12</f>
        <v>51660</v>
      </c>
      <c r="N44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6" s="7">
        <f>dataset!$K446+dataset!$M446</f>
        <v>603660</v>
      </c>
      <c r="P446" s="7">
        <f>Payroll_Data_Analysis[[#This Row],[Annual Salary + KPI Bonus]]/12/29.3*31</f>
        <v>53223.720136518765</v>
      </c>
      <c r="Q446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6" s="7">
        <f>Payroll_Data_Analysis[[#This Row],[Monthly Salary]]*11</f>
        <v>506000</v>
      </c>
      <c r="S446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6" s="7">
        <f>IF(Payroll_Data_Analysis[[#This Row],[Base Salary (Monthly)]]&gt;=200000,69507,IF(Payroll_Data_Analysis[[#This Row],[Base Salary (Monthly)]]&gt;=145000,52684,35103))</f>
        <v>35103</v>
      </c>
      <c r="U446" s="7">
        <f>Payroll_Data_Analysis[[#This Row],[Annual KPI Bonus Reserve]]+Payroll_Data_Analysis[[#This Row],[Vacation Reserve]]+Payroll_Data_Analysis[[#This Row],[11-Month Salary]]</f>
        <v>610883.72013651882</v>
      </c>
      <c r="V446" s="7">
        <f>Payroll_Data_Analysis[[#This Row],[Payroll Taxes (KPI Bonus)]]+Payroll_Data_Analysis[[#This Row],[Payroll Taxes (Vacation)]]+Payroll_Data_Analysis[[#This Row],[Payroll Taxes (Salary)]]</f>
        <v>184486.88348122867</v>
      </c>
      <c r="W446" s="13">
        <f>Payroll_Data_Analysis[[#This Row],[Total Payroll]]+Payroll_Data_Analysis[[#This Row],[Total Payroll Taxes]]</f>
        <v>795370.60361774755</v>
      </c>
    </row>
    <row r="447" spans="1:23">
      <c r="A447" s="11" t="s">
        <v>664</v>
      </c>
      <c r="B447" s="5" t="s">
        <v>450</v>
      </c>
      <c r="C447" s="5" t="s">
        <v>733</v>
      </c>
      <c r="D447" s="28" t="str">
        <f>VLOOKUP(Payroll_Data_Analysis[[#This Row],[Position]],Position_Map!$A$2:$B$58,2,FALSE)</f>
        <v>Facilities</v>
      </c>
      <c r="E447" s="6">
        <v>1</v>
      </c>
      <c r="F447" s="7">
        <v>46000</v>
      </c>
      <c r="G447" s="7">
        <v>35000</v>
      </c>
      <c r="H447" s="7"/>
      <c r="I447" s="7">
        <f>dataset!$F447-dataset!$J447-dataset!$G447-dataset!$H447</f>
        <v>8200</v>
      </c>
      <c r="J447" s="7">
        <f>dataset!$G447*0.08</f>
        <v>2800</v>
      </c>
      <c r="K447" s="7">
        <f>dataset!$F447*12</f>
        <v>552000</v>
      </c>
      <c r="L447" s="12">
        <f>IF(dataset!$G447&gt;=200000,38%,IF(dataset!$G447&lt;=145000,12.3%,))</f>
        <v>0.12300000000000001</v>
      </c>
      <c r="M447" s="7">
        <f>dataset!$G447*L448*12</f>
        <v>51660</v>
      </c>
      <c r="N44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7" s="7">
        <f>dataset!$K447+dataset!$M447</f>
        <v>603660</v>
      </c>
      <c r="P447" s="7">
        <f>Payroll_Data_Analysis[[#This Row],[Annual Salary + KPI Bonus]]/12/29.3*31</f>
        <v>53223.720136518765</v>
      </c>
      <c r="Q447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7" s="7">
        <f>Payroll_Data_Analysis[[#This Row],[Monthly Salary]]*11</f>
        <v>506000</v>
      </c>
      <c r="S447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7" s="7">
        <f>IF(Payroll_Data_Analysis[[#This Row],[Base Salary (Monthly)]]&gt;=200000,69507,IF(Payroll_Data_Analysis[[#This Row],[Base Salary (Monthly)]]&gt;=145000,52684,35103))</f>
        <v>35103</v>
      </c>
      <c r="U447" s="7">
        <f>Payroll_Data_Analysis[[#This Row],[Annual KPI Bonus Reserve]]+Payroll_Data_Analysis[[#This Row],[Vacation Reserve]]+Payroll_Data_Analysis[[#This Row],[11-Month Salary]]</f>
        <v>610883.72013651882</v>
      </c>
      <c r="V447" s="7">
        <f>Payroll_Data_Analysis[[#This Row],[Payroll Taxes (KPI Bonus)]]+Payroll_Data_Analysis[[#This Row],[Payroll Taxes (Vacation)]]+Payroll_Data_Analysis[[#This Row],[Payroll Taxes (Salary)]]</f>
        <v>184486.88348122867</v>
      </c>
      <c r="W447" s="13">
        <f>Payroll_Data_Analysis[[#This Row],[Total Payroll]]+Payroll_Data_Analysis[[#This Row],[Total Payroll Taxes]]</f>
        <v>795370.60361774755</v>
      </c>
    </row>
    <row r="448" spans="1:23">
      <c r="A448" s="11" t="s">
        <v>664</v>
      </c>
      <c r="B448" s="5" t="s">
        <v>451</v>
      </c>
      <c r="C448" s="5" t="s">
        <v>733</v>
      </c>
      <c r="D448" s="28" t="str">
        <f>VLOOKUP(Payroll_Data_Analysis[[#This Row],[Position]],Position_Map!$A$2:$B$58,2,FALSE)</f>
        <v>Facilities</v>
      </c>
      <c r="E448" s="6">
        <v>1</v>
      </c>
      <c r="F448" s="7">
        <v>46000</v>
      </c>
      <c r="G448" s="7">
        <v>35000</v>
      </c>
      <c r="H448" s="7"/>
      <c r="I448" s="7">
        <f>dataset!$F448-dataset!$J448-dataset!$G448-dataset!$H448</f>
        <v>8200</v>
      </c>
      <c r="J448" s="7">
        <f>dataset!$G448*0.08</f>
        <v>2800</v>
      </c>
      <c r="K448" s="7">
        <f>dataset!$F448*12</f>
        <v>552000</v>
      </c>
      <c r="L448" s="12">
        <f>IF(dataset!$G448&gt;=200000,38%,IF(dataset!$G448&lt;=145000,12.3%,))</f>
        <v>0.12300000000000001</v>
      </c>
      <c r="M448" s="7">
        <f>dataset!$G448*L449*12</f>
        <v>51660</v>
      </c>
      <c r="N44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8" s="7">
        <f>dataset!$K448+dataset!$M448</f>
        <v>603660</v>
      </c>
      <c r="P448" s="7">
        <f>Payroll_Data_Analysis[[#This Row],[Annual Salary + KPI Bonus]]/12/29.3*31</f>
        <v>53223.720136518765</v>
      </c>
      <c r="Q448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8" s="7">
        <f>Payroll_Data_Analysis[[#This Row],[Monthly Salary]]*11</f>
        <v>506000</v>
      </c>
      <c r="S448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8" s="7">
        <f>IF(Payroll_Data_Analysis[[#This Row],[Base Salary (Monthly)]]&gt;=200000,69507,IF(Payroll_Data_Analysis[[#This Row],[Base Salary (Monthly)]]&gt;=145000,52684,35103))</f>
        <v>35103</v>
      </c>
      <c r="U448" s="7">
        <f>Payroll_Data_Analysis[[#This Row],[Annual KPI Bonus Reserve]]+Payroll_Data_Analysis[[#This Row],[Vacation Reserve]]+Payroll_Data_Analysis[[#This Row],[11-Month Salary]]</f>
        <v>610883.72013651882</v>
      </c>
      <c r="V448" s="7">
        <f>Payroll_Data_Analysis[[#This Row],[Payroll Taxes (KPI Bonus)]]+Payroll_Data_Analysis[[#This Row],[Payroll Taxes (Vacation)]]+Payroll_Data_Analysis[[#This Row],[Payroll Taxes (Salary)]]</f>
        <v>184486.88348122867</v>
      </c>
      <c r="W448" s="13">
        <f>Payroll_Data_Analysis[[#This Row],[Total Payroll]]+Payroll_Data_Analysis[[#This Row],[Total Payroll Taxes]]</f>
        <v>795370.60361774755</v>
      </c>
    </row>
    <row r="449" spans="1:23">
      <c r="A449" s="11" t="s">
        <v>664</v>
      </c>
      <c r="B449" s="5" t="s">
        <v>452</v>
      </c>
      <c r="C449" s="5" t="s">
        <v>733</v>
      </c>
      <c r="D449" s="28" t="str">
        <f>VLOOKUP(Payroll_Data_Analysis[[#This Row],[Position]],Position_Map!$A$2:$B$58,2,FALSE)</f>
        <v>Facilities</v>
      </c>
      <c r="E449" s="6">
        <v>1</v>
      </c>
      <c r="F449" s="7">
        <v>46000</v>
      </c>
      <c r="G449" s="7">
        <v>35000</v>
      </c>
      <c r="H449" s="7"/>
      <c r="I449" s="7">
        <f>dataset!$F449-dataset!$J449-dataset!$G449-dataset!$H449</f>
        <v>8200</v>
      </c>
      <c r="J449" s="7">
        <f>dataset!$G449*0.08</f>
        <v>2800</v>
      </c>
      <c r="K449" s="7">
        <f>dataset!$F449*12</f>
        <v>552000</v>
      </c>
      <c r="L449" s="12">
        <f>IF(dataset!$G449&gt;=200000,38%,IF(dataset!$G449&lt;=145000,12.3%,))</f>
        <v>0.12300000000000001</v>
      </c>
      <c r="M449" s="7">
        <f>dataset!$G449*L450*12</f>
        <v>51660</v>
      </c>
      <c r="N44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49" s="7">
        <f>dataset!$K449+dataset!$M449</f>
        <v>603660</v>
      </c>
      <c r="P449" s="7">
        <f>Payroll_Data_Analysis[[#This Row],[Annual Salary + KPI Bonus]]/12/29.3*31</f>
        <v>53223.720136518765</v>
      </c>
      <c r="Q449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49" s="7">
        <f>Payroll_Data_Analysis[[#This Row],[Monthly Salary]]*11</f>
        <v>506000</v>
      </c>
      <c r="S449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49" s="7">
        <f>IF(Payroll_Data_Analysis[[#This Row],[Base Salary (Monthly)]]&gt;=200000,69507,IF(Payroll_Data_Analysis[[#This Row],[Base Salary (Monthly)]]&gt;=145000,52684,35103))</f>
        <v>35103</v>
      </c>
      <c r="U449" s="7">
        <f>Payroll_Data_Analysis[[#This Row],[Annual KPI Bonus Reserve]]+Payroll_Data_Analysis[[#This Row],[Vacation Reserve]]+Payroll_Data_Analysis[[#This Row],[11-Month Salary]]</f>
        <v>610883.72013651882</v>
      </c>
      <c r="V449" s="7">
        <f>Payroll_Data_Analysis[[#This Row],[Payroll Taxes (KPI Bonus)]]+Payroll_Data_Analysis[[#This Row],[Payroll Taxes (Vacation)]]+Payroll_Data_Analysis[[#This Row],[Payroll Taxes (Salary)]]</f>
        <v>184486.88348122867</v>
      </c>
      <c r="W449" s="13">
        <f>Payroll_Data_Analysis[[#This Row],[Total Payroll]]+Payroll_Data_Analysis[[#This Row],[Total Payroll Taxes]]</f>
        <v>795370.60361774755</v>
      </c>
    </row>
    <row r="450" spans="1:23">
      <c r="A450" s="11" t="s">
        <v>664</v>
      </c>
      <c r="B450" s="5" t="s">
        <v>453</v>
      </c>
      <c r="C450" s="5" t="s">
        <v>733</v>
      </c>
      <c r="D450" s="28" t="str">
        <f>VLOOKUP(Payroll_Data_Analysis[[#This Row],[Position]],Position_Map!$A$2:$B$58,2,FALSE)</f>
        <v>Facilities</v>
      </c>
      <c r="E450" s="6">
        <v>1</v>
      </c>
      <c r="F450" s="7">
        <v>46000</v>
      </c>
      <c r="G450" s="7">
        <v>35000</v>
      </c>
      <c r="H450" s="7"/>
      <c r="I450" s="7">
        <f>dataset!$F450-dataset!$J450-dataset!$G450-dataset!$H450</f>
        <v>8200</v>
      </c>
      <c r="J450" s="7">
        <f>dataset!$G450*0.08</f>
        <v>2800</v>
      </c>
      <c r="K450" s="7">
        <f>dataset!$F450*12</f>
        <v>552000</v>
      </c>
      <c r="L450" s="12">
        <f>IF(dataset!$G450&gt;=200000,38%,IF(dataset!$G450&lt;=145000,12.3%,))</f>
        <v>0.12300000000000001</v>
      </c>
      <c r="M450" s="7">
        <f>dataset!$G450*L451*12</f>
        <v>51660</v>
      </c>
      <c r="N45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50" s="7">
        <f>dataset!$K450+dataset!$M450</f>
        <v>603660</v>
      </c>
      <c r="P450" s="7">
        <f>Payroll_Data_Analysis[[#This Row],[Annual Salary + KPI Bonus]]/12/29.3*31</f>
        <v>53223.720136518765</v>
      </c>
      <c r="Q450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50" s="7">
        <f>Payroll_Data_Analysis[[#This Row],[Monthly Salary]]*11</f>
        <v>506000</v>
      </c>
      <c r="S450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50" s="7">
        <f>IF(Payroll_Data_Analysis[[#This Row],[Base Salary (Monthly)]]&gt;=200000,69507,IF(Payroll_Data_Analysis[[#This Row],[Base Salary (Monthly)]]&gt;=145000,52684,35103))</f>
        <v>35103</v>
      </c>
      <c r="U450" s="7">
        <f>Payroll_Data_Analysis[[#This Row],[Annual KPI Bonus Reserve]]+Payroll_Data_Analysis[[#This Row],[Vacation Reserve]]+Payroll_Data_Analysis[[#This Row],[11-Month Salary]]</f>
        <v>610883.72013651882</v>
      </c>
      <c r="V450" s="7">
        <f>Payroll_Data_Analysis[[#This Row],[Payroll Taxes (KPI Bonus)]]+Payroll_Data_Analysis[[#This Row],[Payroll Taxes (Vacation)]]+Payroll_Data_Analysis[[#This Row],[Payroll Taxes (Salary)]]</f>
        <v>184486.88348122867</v>
      </c>
      <c r="W450" s="13">
        <f>Payroll_Data_Analysis[[#This Row],[Total Payroll]]+Payroll_Data_Analysis[[#This Row],[Total Payroll Taxes]]</f>
        <v>795370.60361774755</v>
      </c>
    </row>
    <row r="451" spans="1:23">
      <c r="A451" s="11" t="s">
        <v>664</v>
      </c>
      <c r="B451" s="5" t="s">
        <v>454</v>
      </c>
      <c r="C451" s="5" t="s">
        <v>733</v>
      </c>
      <c r="D451" s="28" t="str">
        <f>VLOOKUP(Payroll_Data_Analysis[[#This Row],[Position]],Position_Map!$A$2:$B$58,2,FALSE)</f>
        <v>Facilities</v>
      </c>
      <c r="E451" s="6">
        <v>1</v>
      </c>
      <c r="F451" s="7">
        <v>46000</v>
      </c>
      <c r="G451" s="7">
        <v>35000</v>
      </c>
      <c r="H451" s="7"/>
      <c r="I451" s="7">
        <f>dataset!$F451-dataset!$J451-dataset!$G451-dataset!$H451</f>
        <v>8200</v>
      </c>
      <c r="J451" s="7">
        <f>dataset!$G451*0.08</f>
        <v>2800</v>
      </c>
      <c r="K451" s="7">
        <f>dataset!$F451*12</f>
        <v>552000</v>
      </c>
      <c r="L451" s="12">
        <f>IF(dataset!$G451&gt;=200000,38%,IF(dataset!$G451&lt;=145000,12.3%,))</f>
        <v>0.12300000000000001</v>
      </c>
      <c r="M451" s="7">
        <f>dataset!$G451*L452*12</f>
        <v>51660</v>
      </c>
      <c r="N45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51" s="7">
        <f>dataset!$K451+dataset!$M451</f>
        <v>603660</v>
      </c>
      <c r="P451" s="7">
        <f>Payroll_Data_Analysis[[#This Row],[Annual Salary + KPI Bonus]]/12/29.3*31</f>
        <v>53223.720136518765</v>
      </c>
      <c r="Q451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51" s="7">
        <f>Payroll_Data_Analysis[[#This Row],[Monthly Salary]]*11</f>
        <v>506000</v>
      </c>
      <c r="S451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51" s="7">
        <f>IF(Payroll_Data_Analysis[[#This Row],[Base Salary (Monthly)]]&gt;=200000,69507,IF(Payroll_Data_Analysis[[#This Row],[Base Salary (Monthly)]]&gt;=145000,52684,35103))</f>
        <v>35103</v>
      </c>
      <c r="U451" s="7">
        <f>Payroll_Data_Analysis[[#This Row],[Annual KPI Bonus Reserve]]+Payroll_Data_Analysis[[#This Row],[Vacation Reserve]]+Payroll_Data_Analysis[[#This Row],[11-Month Salary]]</f>
        <v>610883.72013651882</v>
      </c>
      <c r="V451" s="7">
        <f>Payroll_Data_Analysis[[#This Row],[Payroll Taxes (KPI Bonus)]]+Payroll_Data_Analysis[[#This Row],[Payroll Taxes (Vacation)]]+Payroll_Data_Analysis[[#This Row],[Payroll Taxes (Salary)]]</f>
        <v>184486.88348122867</v>
      </c>
      <c r="W451" s="13">
        <f>Payroll_Data_Analysis[[#This Row],[Total Payroll]]+Payroll_Data_Analysis[[#This Row],[Total Payroll Taxes]]</f>
        <v>795370.60361774755</v>
      </c>
    </row>
    <row r="452" spans="1:23">
      <c r="A452" s="11" t="s">
        <v>664</v>
      </c>
      <c r="B452" s="5" t="s">
        <v>455</v>
      </c>
      <c r="C452" s="5" t="s">
        <v>733</v>
      </c>
      <c r="D452" s="28" t="str">
        <f>VLOOKUP(Payroll_Data_Analysis[[#This Row],[Position]],Position_Map!$A$2:$B$58,2,FALSE)</f>
        <v>Facilities</v>
      </c>
      <c r="E452" s="6">
        <v>1</v>
      </c>
      <c r="F452" s="7">
        <v>46000</v>
      </c>
      <c r="G452" s="7">
        <v>35000</v>
      </c>
      <c r="H452" s="7"/>
      <c r="I452" s="7">
        <f>dataset!$F452-dataset!$J452-dataset!$G452-dataset!$H452</f>
        <v>8200</v>
      </c>
      <c r="J452" s="7">
        <f>dataset!$G452*0.08</f>
        <v>2800</v>
      </c>
      <c r="K452" s="7">
        <f>dataset!$F452*12</f>
        <v>552000</v>
      </c>
      <c r="L452" s="12">
        <f>IF(dataset!$G452&gt;=200000,38%,IF(dataset!$G452&lt;=145000,12.3%,))</f>
        <v>0.12300000000000001</v>
      </c>
      <c r="M452" s="7">
        <f>dataset!$G452*L453*12</f>
        <v>51660</v>
      </c>
      <c r="N45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52" s="7">
        <f>dataset!$K452+dataset!$M452</f>
        <v>603660</v>
      </c>
      <c r="P452" s="7">
        <f>Payroll_Data_Analysis[[#This Row],[Annual Salary + KPI Bonus]]/12/29.3*31</f>
        <v>53223.720136518765</v>
      </c>
      <c r="Q452" s="7">
        <f>IF(Payroll_Data_Analysis[[#This Row],[Vacation Reserve]]&lt;=2979000,Payroll_Data_Analysis[[#This Row],[Vacation Reserve]]*0.302,2979000*0.302+(Payroll_Data_Analysis[[#This Row],[Vacation Reserve]]-2979000)*0.151)</f>
        <v>16073.563481228666</v>
      </c>
      <c r="R452" s="7">
        <f>Payroll_Data_Analysis[[#This Row],[Monthly Salary]]*11</f>
        <v>506000</v>
      </c>
      <c r="S452" s="7">
        <f>IF(Payroll_Data_Analysis[[#This Row],[11-Month Salary]]&lt;=2979000,Payroll_Data_Analysis[[#This Row],[11-Month Salary]]*0.302,2979000*0.302+(Payroll_Data_Analysis[[#This Row],[11-Month Salary]]-2979000)*0.151)</f>
        <v>152812</v>
      </c>
      <c r="T452" s="7">
        <f>IF(Payroll_Data_Analysis[[#This Row],[Base Salary (Monthly)]]&gt;=200000,69507,IF(Payroll_Data_Analysis[[#This Row],[Base Salary (Monthly)]]&gt;=145000,52684,35103))</f>
        <v>35103</v>
      </c>
      <c r="U452" s="7">
        <f>Payroll_Data_Analysis[[#This Row],[Annual KPI Bonus Reserve]]+Payroll_Data_Analysis[[#This Row],[Vacation Reserve]]+Payroll_Data_Analysis[[#This Row],[11-Month Salary]]</f>
        <v>610883.72013651882</v>
      </c>
      <c r="V452" s="7">
        <f>Payroll_Data_Analysis[[#This Row],[Payroll Taxes (KPI Bonus)]]+Payroll_Data_Analysis[[#This Row],[Payroll Taxes (Vacation)]]+Payroll_Data_Analysis[[#This Row],[Payroll Taxes (Salary)]]</f>
        <v>184486.88348122867</v>
      </c>
      <c r="W452" s="13">
        <f>Payroll_Data_Analysis[[#This Row],[Total Payroll]]+Payroll_Data_Analysis[[#This Row],[Total Payroll Taxes]]</f>
        <v>795370.60361774755</v>
      </c>
    </row>
    <row r="453" spans="1:23">
      <c r="A453" s="11" t="s">
        <v>665</v>
      </c>
      <c r="B453" s="5" t="s">
        <v>456</v>
      </c>
      <c r="C453" s="5" t="s">
        <v>703</v>
      </c>
      <c r="D453" s="28" t="str">
        <f>VLOOKUP(Payroll_Data_Analysis[[#This Row],[Position]],Position_Map!$A$2:$B$58,2,FALSE)</f>
        <v>Management</v>
      </c>
      <c r="E453" s="6">
        <v>1</v>
      </c>
      <c r="F453" s="7">
        <v>148000</v>
      </c>
      <c r="G453" s="7">
        <v>100000</v>
      </c>
      <c r="H453" s="7"/>
      <c r="I453" s="7">
        <f>dataset!$F453-dataset!$J453-dataset!$G453-dataset!$H453</f>
        <v>40000</v>
      </c>
      <c r="J453" s="7">
        <f>dataset!$G453*0.08</f>
        <v>8000</v>
      </c>
      <c r="K453" s="7">
        <f>dataset!$F453*12</f>
        <v>1776000</v>
      </c>
      <c r="L453" s="12">
        <f>IF(dataset!$G453&gt;=200000,38%,IF(dataset!$G453&lt;=145000,12.3%,))</f>
        <v>0.12300000000000001</v>
      </c>
      <c r="M453" s="7">
        <f>dataset!$G453*L454*12</f>
        <v>147600.00000000003</v>
      </c>
      <c r="N45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53" s="7">
        <f>dataset!$K453+dataset!$M453</f>
        <v>1923600</v>
      </c>
      <c r="P453" s="7">
        <f>Payroll_Data_Analysis[[#This Row],[Annual Salary + KPI Bonus]]/12/29.3*31</f>
        <v>169600.68259385665</v>
      </c>
      <c r="Q453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453" s="7">
        <f>Payroll_Data_Analysis[[#This Row],[Monthly Salary]]*11</f>
        <v>1628000</v>
      </c>
      <c r="S453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453" s="7">
        <f>IF(Payroll_Data_Analysis[[#This Row],[Base Salary (Monthly)]]&gt;=200000,69507,IF(Payroll_Data_Analysis[[#This Row],[Base Salary (Monthly)]]&gt;=145000,52684,35103))</f>
        <v>35103</v>
      </c>
      <c r="U453" s="7">
        <f>Payroll_Data_Analysis[[#This Row],[Annual KPI Bonus Reserve]]+Payroll_Data_Analysis[[#This Row],[Vacation Reserve]]+Payroll_Data_Analysis[[#This Row],[11-Month Salary]]</f>
        <v>1945200.6825938567</v>
      </c>
      <c r="V453" s="7">
        <f>Payroll_Data_Analysis[[#This Row],[Payroll Taxes (KPI Bonus)]]+Payroll_Data_Analysis[[#This Row],[Payroll Taxes (Vacation)]]+Payroll_Data_Analysis[[#This Row],[Payroll Taxes (Salary)]]</f>
        <v>587450.60614334466</v>
      </c>
      <c r="W453" s="13">
        <f>Payroll_Data_Analysis[[#This Row],[Total Payroll]]+Payroll_Data_Analysis[[#This Row],[Total Payroll Taxes]]</f>
        <v>2532651.2887372011</v>
      </c>
    </row>
    <row r="454" spans="1:23">
      <c r="A454" s="11" t="s">
        <v>665</v>
      </c>
      <c r="B454" s="5" t="s">
        <v>457</v>
      </c>
      <c r="C454" s="5" t="s">
        <v>705</v>
      </c>
      <c r="D454" s="28" t="str">
        <f>VLOOKUP(Payroll_Data_Analysis[[#This Row],[Position]],Position_Map!$A$2:$B$58,2,FALSE)</f>
        <v>Professional</v>
      </c>
      <c r="E454" s="6">
        <v>1</v>
      </c>
      <c r="F454" s="7">
        <v>84800</v>
      </c>
      <c r="G454" s="7">
        <v>60000</v>
      </c>
      <c r="H454" s="7"/>
      <c r="I454" s="7">
        <f>dataset!$F454-dataset!$J454-dataset!$G454-dataset!$H454</f>
        <v>20000</v>
      </c>
      <c r="J454" s="7">
        <f>dataset!$G454*0.08</f>
        <v>4800</v>
      </c>
      <c r="K454" s="7">
        <f>dataset!$F454*12</f>
        <v>1017600</v>
      </c>
      <c r="L454" s="12">
        <f>IF(dataset!$G454&gt;=200000,38%,IF(dataset!$G454&lt;=145000,12.3%,))</f>
        <v>0.12300000000000001</v>
      </c>
      <c r="M454" s="7">
        <f>dataset!$G454*L455*12</f>
        <v>88560.000000000015</v>
      </c>
      <c r="N45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54" s="7">
        <f>dataset!$K454+dataset!$M454</f>
        <v>1106160</v>
      </c>
      <c r="P454" s="7">
        <f>Payroll_Data_Analysis[[#This Row],[Annual Salary + KPI Bonus]]/12/29.3*31</f>
        <v>97528.327645051191</v>
      </c>
      <c r="Q454" s="7">
        <f>IF(Payroll_Data_Analysis[[#This Row],[Vacation Reserve]]&lt;=2979000,Payroll_Data_Analysis[[#This Row],[Vacation Reserve]]*0.302,2979000*0.302+(Payroll_Data_Analysis[[#This Row],[Vacation Reserve]]-2979000)*0.151)</f>
        <v>29453.55494880546</v>
      </c>
      <c r="R454" s="7">
        <f>Payroll_Data_Analysis[[#This Row],[Monthly Salary]]*11</f>
        <v>932800</v>
      </c>
      <c r="S454" s="7">
        <f>IF(Payroll_Data_Analysis[[#This Row],[11-Month Salary]]&lt;=2979000,Payroll_Data_Analysis[[#This Row],[11-Month Salary]]*0.302,2979000*0.302+(Payroll_Data_Analysis[[#This Row],[11-Month Salary]]-2979000)*0.151)</f>
        <v>281705.59999999998</v>
      </c>
      <c r="T454" s="7">
        <f>IF(Payroll_Data_Analysis[[#This Row],[Base Salary (Monthly)]]&gt;=200000,69507,IF(Payroll_Data_Analysis[[#This Row],[Base Salary (Monthly)]]&gt;=145000,52684,35103))</f>
        <v>35103</v>
      </c>
      <c r="U454" s="7">
        <f>Payroll_Data_Analysis[[#This Row],[Annual KPI Bonus Reserve]]+Payroll_Data_Analysis[[#This Row],[Vacation Reserve]]+Payroll_Data_Analysis[[#This Row],[11-Month Salary]]</f>
        <v>1118888.3276450513</v>
      </c>
      <c r="V454" s="7">
        <f>Payroll_Data_Analysis[[#This Row],[Payroll Taxes (KPI Bonus)]]+Payroll_Data_Analysis[[#This Row],[Payroll Taxes (Vacation)]]+Payroll_Data_Analysis[[#This Row],[Payroll Taxes (Salary)]]</f>
        <v>337904.27494880545</v>
      </c>
      <c r="W454" s="13">
        <f>Payroll_Data_Analysis[[#This Row],[Total Payroll]]+Payroll_Data_Analysis[[#This Row],[Total Payroll Taxes]]</f>
        <v>1456792.6025938569</v>
      </c>
    </row>
    <row r="455" spans="1:23">
      <c r="A455" s="11" t="s">
        <v>665</v>
      </c>
      <c r="B455" s="5" t="s">
        <v>458</v>
      </c>
      <c r="C455" s="5" t="s">
        <v>705</v>
      </c>
      <c r="D455" s="28" t="str">
        <f>VLOOKUP(Payroll_Data_Analysis[[#This Row],[Position]],Position_Map!$A$2:$B$58,2,FALSE)</f>
        <v>Professional</v>
      </c>
      <c r="E455" s="6">
        <v>1</v>
      </c>
      <c r="F455" s="7">
        <v>104800</v>
      </c>
      <c r="G455" s="7">
        <v>80000</v>
      </c>
      <c r="H455" s="7"/>
      <c r="I455" s="7">
        <f>dataset!$F455-dataset!$J455-dataset!$G455-dataset!$H455</f>
        <v>18400</v>
      </c>
      <c r="J455" s="7">
        <f>dataset!$G455*0.08</f>
        <v>6400</v>
      </c>
      <c r="K455" s="7">
        <f>dataset!$F455*12</f>
        <v>1257600</v>
      </c>
      <c r="L455" s="12">
        <f>IF(dataset!$G455&gt;=200000,38%,IF(dataset!$G455&lt;=145000,12.3%,))</f>
        <v>0.12300000000000001</v>
      </c>
      <c r="M455" s="7">
        <f>dataset!$G455*L456*12</f>
        <v>118080.00000000003</v>
      </c>
      <c r="N45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55" s="7">
        <f>dataset!$K455+dataset!$M455</f>
        <v>1375680</v>
      </c>
      <c r="P455" s="7">
        <f>Payroll_Data_Analysis[[#This Row],[Annual Salary + KPI Bonus]]/12/29.3*31</f>
        <v>121291.46757679181</v>
      </c>
      <c r="Q455" s="7">
        <f>IF(Payroll_Data_Analysis[[#This Row],[Vacation Reserve]]&lt;=2979000,Payroll_Data_Analysis[[#This Row],[Vacation Reserve]]*0.302,2979000*0.302+(Payroll_Data_Analysis[[#This Row],[Vacation Reserve]]-2979000)*0.151)</f>
        <v>36630.023208191124</v>
      </c>
      <c r="R455" s="7">
        <f>Payroll_Data_Analysis[[#This Row],[Monthly Salary]]*11</f>
        <v>1152800</v>
      </c>
      <c r="S455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455" s="7">
        <f>IF(Payroll_Data_Analysis[[#This Row],[Base Salary (Monthly)]]&gt;=200000,69507,IF(Payroll_Data_Analysis[[#This Row],[Base Salary (Monthly)]]&gt;=145000,52684,35103))</f>
        <v>35103</v>
      </c>
      <c r="U455" s="7">
        <f>Payroll_Data_Analysis[[#This Row],[Annual KPI Bonus Reserve]]+Payroll_Data_Analysis[[#This Row],[Vacation Reserve]]+Payroll_Data_Analysis[[#This Row],[11-Month Salary]]</f>
        <v>1392171.4675767918</v>
      </c>
      <c r="V455" s="7">
        <f>Payroll_Data_Analysis[[#This Row],[Payroll Taxes (KPI Bonus)]]+Payroll_Data_Analysis[[#This Row],[Payroll Taxes (Vacation)]]+Payroll_Data_Analysis[[#This Row],[Payroll Taxes (Salary)]]</f>
        <v>420435.7832081911</v>
      </c>
      <c r="W455" s="13">
        <f>Payroll_Data_Analysis[[#This Row],[Total Payroll]]+Payroll_Data_Analysis[[#This Row],[Total Payroll Taxes]]</f>
        <v>1812607.2507849829</v>
      </c>
    </row>
    <row r="456" spans="1:23">
      <c r="A456" s="11" t="s">
        <v>665</v>
      </c>
      <c r="B456" s="5" t="s">
        <v>459</v>
      </c>
      <c r="C456" s="5" t="s">
        <v>738</v>
      </c>
      <c r="D456" s="28" t="str">
        <f>VLOOKUP(Payroll_Data_Analysis[[#This Row],[Position]],Position_Map!$A$2:$B$58,2,FALSE)</f>
        <v>Facilities</v>
      </c>
      <c r="E456" s="6">
        <v>1</v>
      </c>
      <c r="F456" s="7">
        <v>79000</v>
      </c>
      <c r="G456" s="7">
        <v>60000</v>
      </c>
      <c r="H456" s="7"/>
      <c r="I456" s="7">
        <f>dataset!$F456-dataset!$J456-dataset!$G456-dataset!$H456</f>
        <v>14200</v>
      </c>
      <c r="J456" s="7">
        <f>dataset!$G456*0.08</f>
        <v>4800</v>
      </c>
      <c r="K456" s="7">
        <f>dataset!$F456*12</f>
        <v>948000</v>
      </c>
      <c r="L456" s="12">
        <f>IF(dataset!$G456&gt;=200000,38%,IF(dataset!$G456&lt;=145000,12.3%,))</f>
        <v>0.12300000000000001</v>
      </c>
      <c r="M456" s="7">
        <f>dataset!$G456*L457*12</f>
        <v>88560.000000000015</v>
      </c>
      <c r="N45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56" s="7">
        <f>dataset!$K456+dataset!$M456</f>
        <v>1036560</v>
      </c>
      <c r="P456" s="7">
        <f>Payroll_Data_Analysis[[#This Row],[Annual Salary + KPI Bonus]]/12/29.3*31</f>
        <v>91391.808873720147</v>
      </c>
      <c r="Q456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456" s="7">
        <f>Payroll_Data_Analysis[[#This Row],[Monthly Salary]]*11</f>
        <v>869000</v>
      </c>
      <c r="S456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456" s="7">
        <f>IF(Payroll_Data_Analysis[[#This Row],[Base Salary (Monthly)]]&gt;=200000,69507,IF(Payroll_Data_Analysis[[#This Row],[Base Salary (Monthly)]]&gt;=145000,52684,35103))</f>
        <v>35103</v>
      </c>
      <c r="U456" s="7">
        <f>Payroll_Data_Analysis[[#This Row],[Annual KPI Bonus Reserve]]+Payroll_Data_Analysis[[#This Row],[Vacation Reserve]]+Payroll_Data_Analysis[[#This Row],[11-Month Salary]]</f>
        <v>1048951.8088737202</v>
      </c>
      <c r="V456" s="7">
        <f>Payroll_Data_Analysis[[#This Row],[Payroll Taxes (KPI Bonus)]]+Payroll_Data_Analysis[[#This Row],[Payroll Taxes (Vacation)]]+Payroll_Data_Analysis[[#This Row],[Payroll Taxes (Salary)]]</f>
        <v>316783.44627986348</v>
      </c>
      <c r="W456" s="13">
        <f>Payroll_Data_Analysis[[#This Row],[Total Payroll]]+Payroll_Data_Analysis[[#This Row],[Total Payroll Taxes]]</f>
        <v>1365735.2551535838</v>
      </c>
    </row>
    <row r="457" spans="1:23">
      <c r="A457" s="11" t="s">
        <v>665</v>
      </c>
      <c r="B457" s="5" t="s">
        <v>460</v>
      </c>
      <c r="C457" s="5" t="s">
        <v>710</v>
      </c>
      <c r="D457" s="28" t="str">
        <f>VLOOKUP(Payroll_Data_Analysis[[#This Row],[Position]],Position_Map!$A$2:$B$58,2,FALSE)</f>
        <v>Professional</v>
      </c>
      <c r="E457" s="6">
        <v>1</v>
      </c>
      <c r="F457" s="7">
        <v>54000</v>
      </c>
      <c r="G457" s="7">
        <v>35000</v>
      </c>
      <c r="H457" s="7"/>
      <c r="I457" s="7">
        <f>dataset!$F457-dataset!$J457-dataset!$G457-dataset!$H457</f>
        <v>16200</v>
      </c>
      <c r="J457" s="7">
        <f>dataset!$G457*0.08</f>
        <v>2800</v>
      </c>
      <c r="K457" s="7">
        <f>dataset!$F457*12</f>
        <v>648000</v>
      </c>
      <c r="L457" s="12">
        <f>IF(dataset!$G457&gt;=200000,38%,IF(dataset!$G457&lt;=145000,12.3%,))</f>
        <v>0.12300000000000001</v>
      </c>
      <c r="M457" s="7">
        <f>dataset!$G457*L458*12</f>
        <v>51660</v>
      </c>
      <c r="N45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57" s="7">
        <f>dataset!$K457+dataset!$M457</f>
        <v>699660</v>
      </c>
      <c r="P457" s="7">
        <f>Payroll_Data_Analysis[[#This Row],[Annual Salary + KPI Bonus]]/12/29.3*31</f>
        <v>61687.883959044368</v>
      </c>
      <c r="Q457" s="7">
        <f>IF(Payroll_Data_Analysis[[#This Row],[Vacation Reserve]]&lt;=2979000,Payroll_Data_Analysis[[#This Row],[Vacation Reserve]]*0.302,2979000*0.302+(Payroll_Data_Analysis[[#This Row],[Vacation Reserve]]-2979000)*0.151)</f>
        <v>18629.740955631398</v>
      </c>
      <c r="R457" s="7">
        <f>Payroll_Data_Analysis[[#This Row],[Monthly Salary]]*11</f>
        <v>594000</v>
      </c>
      <c r="S457" s="7">
        <f>IF(Payroll_Data_Analysis[[#This Row],[11-Month Salary]]&lt;=2979000,Payroll_Data_Analysis[[#This Row],[11-Month Salary]]*0.302,2979000*0.302+(Payroll_Data_Analysis[[#This Row],[11-Month Salary]]-2979000)*0.151)</f>
        <v>179388</v>
      </c>
      <c r="T457" s="7">
        <f>IF(Payroll_Data_Analysis[[#This Row],[Base Salary (Monthly)]]&gt;=200000,69507,IF(Payroll_Data_Analysis[[#This Row],[Base Salary (Monthly)]]&gt;=145000,52684,35103))</f>
        <v>35103</v>
      </c>
      <c r="U457" s="7">
        <f>Payroll_Data_Analysis[[#This Row],[Annual KPI Bonus Reserve]]+Payroll_Data_Analysis[[#This Row],[Vacation Reserve]]+Payroll_Data_Analysis[[#This Row],[11-Month Salary]]</f>
        <v>707347.88395904435</v>
      </c>
      <c r="V457" s="7">
        <f>Payroll_Data_Analysis[[#This Row],[Payroll Taxes (KPI Bonus)]]+Payroll_Data_Analysis[[#This Row],[Payroll Taxes (Vacation)]]+Payroll_Data_Analysis[[#This Row],[Payroll Taxes (Salary)]]</f>
        <v>213619.0609556314</v>
      </c>
      <c r="W457" s="13">
        <f>Payroll_Data_Analysis[[#This Row],[Total Payroll]]+Payroll_Data_Analysis[[#This Row],[Total Payroll Taxes]]</f>
        <v>920966.94491467578</v>
      </c>
    </row>
    <row r="458" spans="1:23">
      <c r="A458" s="11" t="s">
        <v>665</v>
      </c>
      <c r="B458" s="5" t="s">
        <v>461</v>
      </c>
      <c r="C458" s="5" t="s">
        <v>710</v>
      </c>
      <c r="D458" s="28" t="str">
        <f>VLOOKUP(Payroll_Data_Analysis[[#This Row],[Position]],Position_Map!$A$2:$B$58,2,FALSE)</f>
        <v>Professional</v>
      </c>
      <c r="E458" s="6">
        <v>1</v>
      </c>
      <c r="F458" s="7">
        <v>54000</v>
      </c>
      <c r="G458" s="7">
        <v>35000</v>
      </c>
      <c r="H458" s="7"/>
      <c r="I458" s="7">
        <f>dataset!$F458-dataset!$J458-dataset!$G458-dataset!$H458</f>
        <v>16200</v>
      </c>
      <c r="J458" s="7">
        <f>dataset!$G458*0.08</f>
        <v>2800</v>
      </c>
      <c r="K458" s="7">
        <f>dataset!$F458*12</f>
        <v>648000</v>
      </c>
      <c r="L458" s="12">
        <f>IF(dataset!$G458&gt;=200000,38%,IF(dataset!$G458&lt;=145000,12.3%,))</f>
        <v>0.12300000000000001</v>
      </c>
      <c r="M458" s="7">
        <f>dataset!$G458*L459*12</f>
        <v>51660</v>
      </c>
      <c r="N45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58" s="7">
        <f>dataset!$K458+dataset!$M458</f>
        <v>699660</v>
      </c>
      <c r="P458" s="7">
        <f>Payroll_Data_Analysis[[#This Row],[Annual Salary + KPI Bonus]]/12/29.3*31</f>
        <v>61687.883959044368</v>
      </c>
      <c r="Q458" s="7">
        <f>IF(Payroll_Data_Analysis[[#This Row],[Vacation Reserve]]&lt;=2979000,Payroll_Data_Analysis[[#This Row],[Vacation Reserve]]*0.302,2979000*0.302+(Payroll_Data_Analysis[[#This Row],[Vacation Reserve]]-2979000)*0.151)</f>
        <v>18629.740955631398</v>
      </c>
      <c r="R458" s="7">
        <f>Payroll_Data_Analysis[[#This Row],[Monthly Salary]]*11</f>
        <v>594000</v>
      </c>
      <c r="S458" s="7">
        <f>IF(Payroll_Data_Analysis[[#This Row],[11-Month Salary]]&lt;=2979000,Payroll_Data_Analysis[[#This Row],[11-Month Salary]]*0.302,2979000*0.302+(Payroll_Data_Analysis[[#This Row],[11-Month Salary]]-2979000)*0.151)</f>
        <v>179388</v>
      </c>
      <c r="T458" s="7">
        <f>IF(Payroll_Data_Analysis[[#This Row],[Base Salary (Monthly)]]&gt;=200000,69507,IF(Payroll_Data_Analysis[[#This Row],[Base Salary (Monthly)]]&gt;=145000,52684,35103))</f>
        <v>35103</v>
      </c>
      <c r="U458" s="7">
        <f>Payroll_Data_Analysis[[#This Row],[Annual KPI Bonus Reserve]]+Payroll_Data_Analysis[[#This Row],[Vacation Reserve]]+Payroll_Data_Analysis[[#This Row],[11-Month Salary]]</f>
        <v>707347.88395904435</v>
      </c>
      <c r="V458" s="7">
        <f>Payroll_Data_Analysis[[#This Row],[Payroll Taxes (KPI Bonus)]]+Payroll_Data_Analysis[[#This Row],[Payroll Taxes (Vacation)]]+Payroll_Data_Analysis[[#This Row],[Payroll Taxes (Salary)]]</f>
        <v>213619.0609556314</v>
      </c>
      <c r="W458" s="13">
        <f>Payroll_Data_Analysis[[#This Row],[Total Payroll]]+Payroll_Data_Analysis[[#This Row],[Total Payroll Taxes]]</f>
        <v>920966.94491467578</v>
      </c>
    </row>
    <row r="459" spans="1:23">
      <c r="A459" s="11" t="s">
        <v>666</v>
      </c>
      <c r="B459" s="5" t="s">
        <v>462</v>
      </c>
      <c r="C459" s="5" t="s">
        <v>739</v>
      </c>
      <c r="D459" s="28" t="str">
        <f>VLOOKUP(Payroll_Data_Analysis[[#This Row],[Position]],Position_Map!$A$2:$B$58,2,FALSE)</f>
        <v>Administration</v>
      </c>
      <c r="E459" s="6">
        <v>1</v>
      </c>
      <c r="F459" s="7">
        <v>141000</v>
      </c>
      <c r="G459" s="7">
        <v>100000</v>
      </c>
      <c r="H459" s="7"/>
      <c r="I459" s="7">
        <f>dataset!$F459-dataset!$J459-dataset!$G459-dataset!$H459</f>
        <v>33000</v>
      </c>
      <c r="J459" s="7">
        <f>dataset!$G459*0.08</f>
        <v>8000</v>
      </c>
      <c r="K459" s="7">
        <f>dataset!$F459*12</f>
        <v>1692000</v>
      </c>
      <c r="L459" s="12">
        <f>IF(dataset!$G459&gt;=200000,38%,IF(dataset!$G459&lt;=145000,12.3%,))</f>
        <v>0.12300000000000001</v>
      </c>
      <c r="M459" s="7">
        <f>dataset!$G459*L460*12</f>
        <v>147600.00000000003</v>
      </c>
      <c r="N45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59" s="7">
        <f>dataset!$K459+dataset!$M459</f>
        <v>1839600</v>
      </c>
      <c r="P459" s="7">
        <f>Payroll_Data_Analysis[[#This Row],[Annual Salary + KPI Bonus]]/12/29.3*31</f>
        <v>162194.53924914676</v>
      </c>
      <c r="Q459" s="7">
        <f>IF(Payroll_Data_Analysis[[#This Row],[Vacation Reserve]]&lt;=2979000,Payroll_Data_Analysis[[#This Row],[Vacation Reserve]]*0.302,2979000*0.302+(Payroll_Data_Analysis[[#This Row],[Vacation Reserve]]-2979000)*0.151)</f>
        <v>48982.750853242324</v>
      </c>
      <c r="R459" s="7">
        <f>Payroll_Data_Analysis[[#This Row],[Monthly Salary]]*11</f>
        <v>1551000</v>
      </c>
      <c r="S459" s="7">
        <f>IF(Payroll_Data_Analysis[[#This Row],[11-Month Salary]]&lt;=2979000,Payroll_Data_Analysis[[#This Row],[11-Month Salary]]*0.302,2979000*0.302+(Payroll_Data_Analysis[[#This Row],[11-Month Salary]]-2979000)*0.151)</f>
        <v>468402</v>
      </c>
      <c r="T459" s="7">
        <f>IF(Payroll_Data_Analysis[[#This Row],[Base Salary (Monthly)]]&gt;=200000,69507,IF(Payroll_Data_Analysis[[#This Row],[Base Salary (Monthly)]]&gt;=145000,52684,35103))</f>
        <v>35103</v>
      </c>
      <c r="U459" s="7">
        <f>Payroll_Data_Analysis[[#This Row],[Annual KPI Bonus Reserve]]+Payroll_Data_Analysis[[#This Row],[Vacation Reserve]]+Payroll_Data_Analysis[[#This Row],[11-Month Salary]]</f>
        <v>1860794.5392491468</v>
      </c>
      <c r="V459" s="7">
        <f>Payroll_Data_Analysis[[#This Row],[Payroll Taxes (KPI Bonus)]]+Payroll_Data_Analysis[[#This Row],[Payroll Taxes (Vacation)]]+Payroll_Data_Analysis[[#This Row],[Payroll Taxes (Salary)]]</f>
        <v>561959.95085324231</v>
      </c>
      <c r="W459" s="13">
        <f>Payroll_Data_Analysis[[#This Row],[Total Payroll]]+Payroll_Data_Analysis[[#This Row],[Total Payroll Taxes]]</f>
        <v>2422754.4901023889</v>
      </c>
    </row>
    <row r="460" spans="1:23">
      <c r="A460" s="11" t="s">
        <v>666</v>
      </c>
      <c r="B460" s="5" t="s">
        <v>463</v>
      </c>
      <c r="C460" s="5" t="s">
        <v>721</v>
      </c>
      <c r="D460" s="28" t="str">
        <f>VLOOKUP(Payroll_Data_Analysis[[#This Row],[Position]],Position_Map!$A$2:$B$58,2,FALSE)</f>
        <v>Administration</v>
      </c>
      <c r="E460" s="6">
        <v>1</v>
      </c>
      <c r="F460" s="7">
        <v>121400</v>
      </c>
      <c r="G460" s="7">
        <v>100000</v>
      </c>
      <c r="H460" s="7"/>
      <c r="I460" s="7">
        <f>dataset!$F460-dataset!$J460-dataset!$G460-dataset!$H460</f>
        <v>13400</v>
      </c>
      <c r="J460" s="7">
        <f>dataset!$G460*0.08</f>
        <v>8000</v>
      </c>
      <c r="K460" s="7">
        <f>dataset!$F460*12</f>
        <v>1456800</v>
      </c>
      <c r="L460" s="12">
        <f>IF(dataset!$G460&gt;=200000,38%,IF(dataset!$G460&lt;=145000,12.3%,))</f>
        <v>0.12300000000000001</v>
      </c>
      <c r="M460" s="7">
        <f>dataset!$G460*L461*12</f>
        <v>147600.00000000003</v>
      </c>
      <c r="N46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60" s="7">
        <f>dataset!$K460+dataset!$M460</f>
        <v>1604400</v>
      </c>
      <c r="P460" s="7">
        <f>Payroll_Data_Analysis[[#This Row],[Annual Salary + KPI Bonus]]/12/29.3*31</f>
        <v>141457.33788395903</v>
      </c>
      <c r="Q460" s="7">
        <f>IF(Payroll_Data_Analysis[[#This Row],[Vacation Reserve]]&lt;=2979000,Payroll_Data_Analysis[[#This Row],[Vacation Reserve]]*0.302,2979000*0.302+(Payroll_Data_Analysis[[#This Row],[Vacation Reserve]]-2979000)*0.151)</f>
        <v>42720.116040955625</v>
      </c>
      <c r="R460" s="7">
        <f>Payroll_Data_Analysis[[#This Row],[Monthly Salary]]*11</f>
        <v>1335400</v>
      </c>
      <c r="S460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60" s="7">
        <f>IF(Payroll_Data_Analysis[[#This Row],[Base Salary (Monthly)]]&gt;=200000,69507,IF(Payroll_Data_Analysis[[#This Row],[Base Salary (Monthly)]]&gt;=145000,52684,35103))</f>
        <v>35103</v>
      </c>
      <c r="U460" s="7">
        <f>Payroll_Data_Analysis[[#This Row],[Annual KPI Bonus Reserve]]+Payroll_Data_Analysis[[#This Row],[Vacation Reserve]]+Payroll_Data_Analysis[[#This Row],[11-Month Salary]]</f>
        <v>1624457.3378839591</v>
      </c>
      <c r="V460" s="7">
        <f>Payroll_Data_Analysis[[#This Row],[Payroll Taxes (KPI Bonus)]]+Payroll_Data_Analysis[[#This Row],[Payroll Taxes (Vacation)]]+Payroll_Data_Analysis[[#This Row],[Payroll Taxes (Salary)]]</f>
        <v>490586.11604095565</v>
      </c>
      <c r="W460" s="13">
        <f>Payroll_Data_Analysis[[#This Row],[Total Payroll]]+Payroll_Data_Analysis[[#This Row],[Total Payroll Taxes]]</f>
        <v>2115043.4539249148</v>
      </c>
    </row>
    <row r="461" spans="1:23">
      <c r="A461" s="11" t="s">
        <v>666</v>
      </c>
      <c r="B461" s="5" t="s">
        <v>464</v>
      </c>
      <c r="C461" s="5" t="s">
        <v>721</v>
      </c>
      <c r="D461" s="28" t="str">
        <f>VLOOKUP(Payroll_Data_Analysis[[#This Row],[Position]],Position_Map!$A$2:$B$58,2,FALSE)</f>
        <v>Administration</v>
      </c>
      <c r="E461" s="6">
        <v>1</v>
      </c>
      <c r="F461" s="7">
        <v>121400</v>
      </c>
      <c r="G461" s="7">
        <v>100000</v>
      </c>
      <c r="H461" s="7"/>
      <c r="I461" s="7">
        <f>dataset!$F461-dataset!$J461-dataset!$G461-dataset!$H461</f>
        <v>13400</v>
      </c>
      <c r="J461" s="7">
        <f>dataset!$G461*0.08</f>
        <v>8000</v>
      </c>
      <c r="K461" s="7">
        <f>dataset!$F461*12</f>
        <v>1456800</v>
      </c>
      <c r="L461" s="12">
        <f>IF(dataset!$G461&gt;=200000,38%,IF(dataset!$G461&lt;=145000,12.3%,))</f>
        <v>0.12300000000000001</v>
      </c>
      <c r="M461" s="7">
        <f>dataset!$G461*L462*12</f>
        <v>147600.00000000003</v>
      </c>
      <c r="N46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61" s="7">
        <f>dataset!$K461+dataset!$M461</f>
        <v>1604400</v>
      </c>
      <c r="P461" s="7">
        <f>Payroll_Data_Analysis[[#This Row],[Annual Salary + KPI Bonus]]/12/29.3*31</f>
        <v>141457.33788395903</v>
      </c>
      <c r="Q461" s="7">
        <f>IF(Payroll_Data_Analysis[[#This Row],[Vacation Reserve]]&lt;=2979000,Payroll_Data_Analysis[[#This Row],[Vacation Reserve]]*0.302,2979000*0.302+(Payroll_Data_Analysis[[#This Row],[Vacation Reserve]]-2979000)*0.151)</f>
        <v>42720.116040955625</v>
      </c>
      <c r="R461" s="7">
        <f>Payroll_Data_Analysis[[#This Row],[Monthly Salary]]*11</f>
        <v>1335400</v>
      </c>
      <c r="S461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61" s="7">
        <f>IF(Payroll_Data_Analysis[[#This Row],[Base Salary (Monthly)]]&gt;=200000,69507,IF(Payroll_Data_Analysis[[#This Row],[Base Salary (Monthly)]]&gt;=145000,52684,35103))</f>
        <v>35103</v>
      </c>
      <c r="U461" s="7">
        <f>Payroll_Data_Analysis[[#This Row],[Annual KPI Bonus Reserve]]+Payroll_Data_Analysis[[#This Row],[Vacation Reserve]]+Payroll_Data_Analysis[[#This Row],[11-Month Salary]]</f>
        <v>1624457.3378839591</v>
      </c>
      <c r="V461" s="7">
        <f>Payroll_Data_Analysis[[#This Row],[Payroll Taxes (KPI Bonus)]]+Payroll_Data_Analysis[[#This Row],[Payroll Taxes (Vacation)]]+Payroll_Data_Analysis[[#This Row],[Payroll Taxes (Salary)]]</f>
        <v>490586.11604095565</v>
      </c>
      <c r="W461" s="13">
        <f>Payroll_Data_Analysis[[#This Row],[Total Payroll]]+Payroll_Data_Analysis[[#This Row],[Total Payroll Taxes]]</f>
        <v>2115043.4539249148</v>
      </c>
    </row>
    <row r="462" spans="1:23">
      <c r="A462" s="11" t="s">
        <v>666</v>
      </c>
      <c r="B462" s="5" t="s">
        <v>465</v>
      </c>
      <c r="C462" s="5" t="s">
        <v>721</v>
      </c>
      <c r="D462" s="28" t="str">
        <f>VLOOKUP(Payroll_Data_Analysis[[#This Row],[Position]],Position_Map!$A$2:$B$58,2,FALSE)</f>
        <v>Administration</v>
      </c>
      <c r="E462" s="6">
        <v>1</v>
      </c>
      <c r="F462" s="7">
        <v>121400</v>
      </c>
      <c r="G462" s="7">
        <v>100000</v>
      </c>
      <c r="H462" s="7"/>
      <c r="I462" s="7">
        <f>dataset!$F462-dataset!$J462-dataset!$G462-dataset!$H462</f>
        <v>13400</v>
      </c>
      <c r="J462" s="7">
        <f>dataset!$G462*0.08</f>
        <v>8000</v>
      </c>
      <c r="K462" s="7">
        <f>dataset!$F462*12</f>
        <v>1456800</v>
      </c>
      <c r="L462" s="12">
        <f>IF(dataset!$G462&gt;=200000,38%,IF(dataset!$G462&lt;=145000,12.3%,))</f>
        <v>0.12300000000000001</v>
      </c>
      <c r="M462" s="7">
        <f>dataset!$G462*L463*12</f>
        <v>147600.00000000003</v>
      </c>
      <c r="N46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62" s="7">
        <f>dataset!$K462+dataset!$M462</f>
        <v>1604400</v>
      </c>
      <c r="P462" s="7">
        <f>Payroll_Data_Analysis[[#This Row],[Annual Salary + KPI Bonus]]/12/29.3*31</f>
        <v>141457.33788395903</v>
      </c>
      <c r="Q462" s="7">
        <f>IF(Payroll_Data_Analysis[[#This Row],[Vacation Reserve]]&lt;=2979000,Payroll_Data_Analysis[[#This Row],[Vacation Reserve]]*0.302,2979000*0.302+(Payroll_Data_Analysis[[#This Row],[Vacation Reserve]]-2979000)*0.151)</f>
        <v>42720.116040955625</v>
      </c>
      <c r="R462" s="7">
        <f>Payroll_Data_Analysis[[#This Row],[Monthly Salary]]*11</f>
        <v>1335400</v>
      </c>
      <c r="S462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62" s="7">
        <f>IF(Payroll_Data_Analysis[[#This Row],[Base Salary (Monthly)]]&gt;=200000,69507,IF(Payroll_Data_Analysis[[#This Row],[Base Salary (Monthly)]]&gt;=145000,52684,35103))</f>
        <v>35103</v>
      </c>
      <c r="U462" s="7">
        <f>Payroll_Data_Analysis[[#This Row],[Annual KPI Bonus Reserve]]+Payroll_Data_Analysis[[#This Row],[Vacation Reserve]]+Payroll_Data_Analysis[[#This Row],[11-Month Salary]]</f>
        <v>1624457.3378839591</v>
      </c>
      <c r="V462" s="7">
        <f>Payroll_Data_Analysis[[#This Row],[Payroll Taxes (KPI Bonus)]]+Payroll_Data_Analysis[[#This Row],[Payroll Taxes (Vacation)]]+Payroll_Data_Analysis[[#This Row],[Payroll Taxes (Salary)]]</f>
        <v>490586.11604095565</v>
      </c>
      <c r="W462" s="13">
        <f>Payroll_Data_Analysis[[#This Row],[Total Payroll]]+Payroll_Data_Analysis[[#This Row],[Total Payroll Taxes]]</f>
        <v>2115043.4539249148</v>
      </c>
    </row>
    <row r="463" spans="1:23">
      <c r="A463" s="11" t="s">
        <v>666</v>
      </c>
      <c r="B463" s="5" t="s">
        <v>466</v>
      </c>
      <c r="C463" s="5" t="s">
        <v>710</v>
      </c>
      <c r="D463" s="28" t="str">
        <f>VLOOKUP(Payroll_Data_Analysis[[#This Row],[Position]],Position_Map!$A$2:$B$58,2,FALSE)</f>
        <v>Professional</v>
      </c>
      <c r="E463" s="6">
        <v>1</v>
      </c>
      <c r="F463" s="16">
        <v>99800</v>
      </c>
      <c r="G463" s="16">
        <v>80000</v>
      </c>
      <c r="H463" s="16"/>
      <c r="I463" s="16">
        <f>dataset!$F463-dataset!$J463-dataset!$G463-dataset!$H463</f>
        <v>13400</v>
      </c>
      <c r="J463" s="16">
        <f>dataset!$G463*0.08</f>
        <v>6400</v>
      </c>
      <c r="K463" s="16">
        <f>dataset!$F463*12</f>
        <v>1197600</v>
      </c>
      <c r="L463" s="17">
        <f>IF(dataset!$G463&gt;=200000,38%,IF(dataset!$G463&lt;=145000,12.3%,))</f>
        <v>0.12300000000000001</v>
      </c>
      <c r="M463" s="7">
        <f>dataset!$G463*L464*12</f>
        <v>118080.00000000003</v>
      </c>
      <c r="N46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63" s="7">
        <f>dataset!$K463+dataset!$M463</f>
        <v>1315680</v>
      </c>
      <c r="P463" s="7">
        <f>Payroll_Data_Analysis[[#This Row],[Annual Salary + KPI Bonus]]/12/29.3*31</f>
        <v>116001.36518771331</v>
      </c>
      <c r="Q463" s="7">
        <f>IF(Payroll_Data_Analysis[[#This Row],[Vacation Reserve]]&lt;=2979000,Payroll_Data_Analysis[[#This Row],[Vacation Reserve]]*0.302,2979000*0.302+(Payroll_Data_Analysis[[#This Row],[Vacation Reserve]]-2979000)*0.151)</f>
        <v>35032.412286689418</v>
      </c>
      <c r="R463" s="7">
        <f>Payroll_Data_Analysis[[#This Row],[Monthly Salary]]*11</f>
        <v>1097800</v>
      </c>
      <c r="S463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463" s="7">
        <f>IF(Payroll_Data_Analysis[[#This Row],[Base Salary (Monthly)]]&gt;=200000,69507,IF(Payroll_Data_Analysis[[#This Row],[Base Salary (Monthly)]]&gt;=145000,52684,35103))</f>
        <v>35103</v>
      </c>
      <c r="U463" s="7">
        <f>Payroll_Data_Analysis[[#This Row],[Annual KPI Bonus Reserve]]+Payroll_Data_Analysis[[#This Row],[Vacation Reserve]]+Payroll_Data_Analysis[[#This Row],[11-Month Salary]]</f>
        <v>1331881.3651877134</v>
      </c>
      <c r="V463" s="7">
        <f>Payroll_Data_Analysis[[#This Row],[Payroll Taxes (KPI Bonus)]]+Payroll_Data_Analysis[[#This Row],[Payroll Taxes (Vacation)]]+Payroll_Data_Analysis[[#This Row],[Payroll Taxes (Salary)]]</f>
        <v>402228.1722866894</v>
      </c>
      <c r="W463" s="13">
        <f>Payroll_Data_Analysis[[#This Row],[Total Payroll]]+Payroll_Data_Analysis[[#This Row],[Total Payroll Taxes]]</f>
        <v>1734109.5374744027</v>
      </c>
    </row>
    <row r="464" spans="1:23">
      <c r="A464" s="11" t="s">
        <v>666</v>
      </c>
      <c r="B464" s="5" t="s">
        <v>467</v>
      </c>
      <c r="C464" s="5" t="s">
        <v>710</v>
      </c>
      <c r="D464" s="28" t="str">
        <f>VLOOKUP(Payroll_Data_Analysis[[#This Row],[Position]],Position_Map!$A$2:$B$58,2,FALSE)</f>
        <v>Professional</v>
      </c>
      <c r="E464" s="6">
        <v>1</v>
      </c>
      <c r="F464" s="16">
        <v>99800</v>
      </c>
      <c r="G464" s="16">
        <v>80000</v>
      </c>
      <c r="H464" s="16"/>
      <c r="I464" s="16">
        <f>dataset!$F464-dataset!$J464-dataset!$G464-dataset!$H464</f>
        <v>13400</v>
      </c>
      <c r="J464" s="16">
        <f>dataset!$G464*0.08</f>
        <v>6400</v>
      </c>
      <c r="K464" s="16">
        <f>dataset!$F464*12</f>
        <v>1197600</v>
      </c>
      <c r="L464" s="17">
        <f>IF(dataset!$G464&gt;=200000,38%,IF(dataset!$G464&lt;=145000,12.3%,))</f>
        <v>0.12300000000000001</v>
      </c>
      <c r="M464" s="7">
        <f>dataset!$G464*L465*12</f>
        <v>118080.00000000003</v>
      </c>
      <c r="N46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64" s="7">
        <f>dataset!$K464+dataset!$M464</f>
        <v>1315680</v>
      </c>
      <c r="P464" s="7">
        <f>Payroll_Data_Analysis[[#This Row],[Annual Salary + KPI Bonus]]/12/29.3*31</f>
        <v>116001.36518771331</v>
      </c>
      <c r="Q464" s="7">
        <f>IF(Payroll_Data_Analysis[[#This Row],[Vacation Reserve]]&lt;=2979000,Payroll_Data_Analysis[[#This Row],[Vacation Reserve]]*0.302,2979000*0.302+(Payroll_Data_Analysis[[#This Row],[Vacation Reserve]]-2979000)*0.151)</f>
        <v>35032.412286689418</v>
      </c>
      <c r="R464" s="7">
        <f>Payroll_Data_Analysis[[#This Row],[Monthly Salary]]*11</f>
        <v>1097800</v>
      </c>
      <c r="S464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464" s="7">
        <f>IF(Payroll_Data_Analysis[[#This Row],[Base Salary (Monthly)]]&gt;=200000,69507,IF(Payroll_Data_Analysis[[#This Row],[Base Salary (Monthly)]]&gt;=145000,52684,35103))</f>
        <v>35103</v>
      </c>
      <c r="U464" s="7">
        <f>Payroll_Data_Analysis[[#This Row],[Annual KPI Bonus Reserve]]+Payroll_Data_Analysis[[#This Row],[Vacation Reserve]]+Payroll_Data_Analysis[[#This Row],[11-Month Salary]]</f>
        <v>1331881.3651877134</v>
      </c>
      <c r="V464" s="7">
        <f>Payroll_Data_Analysis[[#This Row],[Payroll Taxes (KPI Bonus)]]+Payroll_Data_Analysis[[#This Row],[Payroll Taxes (Vacation)]]+Payroll_Data_Analysis[[#This Row],[Payroll Taxes (Salary)]]</f>
        <v>402228.1722866894</v>
      </c>
      <c r="W464" s="13">
        <f>Payroll_Data_Analysis[[#This Row],[Total Payroll]]+Payroll_Data_Analysis[[#This Row],[Total Payroll Taxes]]</f>
        <v>1734109.5374744027</v>
      </c>
    </row>
    <row r="465" spans="1:23">
      <c r="A465" s="11" t="s">
        <v>666</v>
      </c>
      <c r="B465" s="5" t="s">
        <v>468</v>
      </c>
      <c r="C465" s="5" t="s">
        <v>710</v>
      </c>
      <c r="D465" s="28" t="str">
        <f>VLOOKUP(Payroll_Data_Analysis[[#This Row],[Position]],Position_Map!$A$2:$B$58,2,FALSE)</f>
        <v>Professional</v>
      </c>
      <c r="E465" s="6">
        <v>1</v>
      </c>
      <c r="F465" s="16">
        <v>99800</v>
      </c>
      <c r="G465" s="16">
        <v>80000</v>
      </c>
      <c r="H465" s="16"/>
      <c r="I465" s="16">
        <f>dataset!$F465-dataset!$J465-dataset!$G465-dataset!$H465</f>
        <v>13400</v>
      </c>
      <c r="J465" s="16">
        <f>dataset!$G465*0.08</f>
        <v>6400</v>
      </c>
      <c r="K465" s="16">
        <f>dataset!$F465*12</f>
        <v>1197600</v>
      </c>
      <c r="L465" s="17">
        <f>IF(dataset!$G465&gt;=200000,38%,IF(dataset!$G465&lt;=145000,12.3%,))</f>
        <v>0.12300000000000001</v>
      </c>
      <c r="M465" s="7">
        <f>dataset!$G465*L466*12</f>
        <v>118080.00000000003</v>
      </c>
      <c r="N46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65" s="7">
        <f>dataset!$K465+dataset!$M465</f>
        <v>1315680</v>
      </c>
      <c r="P465" s="7">
        <f>Payroll_Data_Analysis[[#This Row],[Annual Salary + KPI Bonus]]/12/29.3*31</f>
        <v>116001.36518771331</v>
      </c>
      <c r="Q465" s="7">
        <f>IF(Payroll_Data_Analysis[[#This Row],[Vacation Reserve]]&lt;=2979000,Payroll_Data_Analysis[[#This Row],[Vacation Reserve]]*0.302,2979000*0.302+(Payroll_Data_Analysis[[#This Row],[Vacation Reserve]]-2979000)*0.151)</f>
        <v>35032.412286689418</v>
      </c>
      <c r="R465" s="7">
        <f>Payroll_Data_Analysis[[#This Row],[Monthly Salary]]*11</f>
        <v>1097800</v>
      </c>
      <c r="S465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465" s="7">
        <f>IF(Payroll_Data_Analysis[[#This Row],[Base Salary (Monthly)]]&gt;=200000,69507,IF(Payroll_Data_Analysis[[#This Row],[Base Salary (Monthly)]]&gt;=145000,52684,35103))</f>
        <v>35103</v>
      </c>
      <c r="U465" s="7">
        <f>Payroll_Data_Analysis[[#This Row],[Annual KPI Bonus Reserve]]+Payroll_Data_Analysis[[#This Row],[Vacation Reserve]]+Payroll_Data_Analysis[[#This Row],[11-Month Salary]]</f>
        <v>1331881.3651877134</v>
      </c>
      <c r="V465" s="7">
        <f>Payroll_Data_Analysis[[#This Row],[Payroll Taxes (KPI Bonus)]]+Payroll_Data_Analysis[[#This Row],[Payroll Taxes (Vacation)]]+Payroll_Data_Analysis[[#This Row],[Payroll Taxes (Salary)]]</f>
        <v>402228.1722866894</v>
      </c>
      <c r="W465" s="13">
        <f>Payroll_Data_Analysis[[#This Row],[Total Payroll]]+Payroll_Data_Analysis[[#This Row],[Total Payroll Taxes]]</f>
        <v>1734109.5374744027</v>
      </c>
    </row>
    <row r="466" spans="1:23">
      <c r="A466" s="11" t="s">
        <v>666</v>
      </c>
      <c r="B466" s="5" t="s">
        <v>469</v>
      </c>
      <c r="C466" s="5" t="s">
        <v>740</v>
      </c>
      <c r="D466" s="28" t="str">
        <f>VLOOKUP(Payroll_Data_Analysis[[#This Row],[Position]],Position_Map!$A$2:$B$58,2,FALSE)</f>
        <v>Facilities</v>
      </c>
      <c r="E466" s="6">
        <v>1</v>
      </c>
      <c r="F466" s="16">
        <v>40000</v>
      </c>
      <c r="G466" s="16">
        <v>35000</v>
      </c>
      <c r="H466" s="16"/>
      <c r="I466" s="16">
        <f>dataset!$F466-dataset!$J466-dataset!$G466-dataset!$H466</f>
        <v>2200</v>
      </c>
      <c r="J466" s="16">
        <f>dataset!$G466*0.08</f>
        <v>2800</v>
      </c>
      <c r="K466" s="16">
        <f>dataset!$F466*12</f>
        <v>480000</v>
      </c>
      <c r="L466" s="17">
        <f>IF(dataset!$G466&gt;=200000,38%,IF(dataset!$G466&lt;=145000,12.3%,))</f>
        <v>0.12300000000000001</v>
      </c>
      <c r="M466" s="7">
        <f>dataset!$G466*L467*12</f>
        <v>51660</v>
      </c>
      <c r="N466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66" s="7">
        <f>dataset!$K466+dataset!$M466</f>
        <v>531660</v>
      </c>
      <c r="P466" s="7">
        <f>Payroll_Data_Analysis[[#This Row],[Annual Salary + KPI Bonus]]/12/29.3*31</f>
        <v>46875.597269624574</v>
      </c>
      <c r="Q466" s="7">
        <f>IF(Payroll_Data_Analysis[[#This Row],[Vacation Reserve]]&lt;=2979000,Payroll_Data_Analysis[[#This Row],[Vacation Reserve]]*0.302,2979000*0.302+(Payroll_Data_Analysis[[#This Row],[Vacation Reserve]]-2979000)*0.151)</f>
        <v>14156.43037542662</v>
      </c>
      <c r="R466" s="7">
        <f>Payroll_Data_Analysis[[#This Row],[Monthly Salary]]*11</f>
        <v>440000</v>
      </c>
      <c r="S466" s="7">
        <f>IF(Payroll_Data_Analysis[[#This Row],[11-Month Salary]]&lt;=2979000,Payroll_Data_Analysis[[#This Row],[11-Month Salary]]*0.302,2979000*0.302+(Payroll_Data_Analysis[[#This Row],[11-Month Salary]]-2979000)*0.151)</f>
        <v>132880</v>
      </c>
      <c r="T466" s="7">
        <f>IF(Payroll_Data_Analysis[[#This Row],[Base Salary (Monthly)]]&gt;=200000,69507,IF(Payroll_Data_Analysis[[#This Row],[Base Salary (Monthly)]]&gt;=145000,52684,35103))</f>
        <v>35103</v>
      </c>
      <c r="U466" s="7">
        <f>Payroll_Data_Analysis[[#This Row],[Annual KPI Bonus Reserve]]+Payroll_Data_Analysis[[#This Row],[Vacation Reserve]]+Payroll_Data_Analysis[[#This Row],[11-Month Salary]]</f>
        <v>538535.59726962459</v>
      </c>
      <c r="V466" s="7">
        <f>Payroll_Data_Analysis[[#This Row],[Payroll Taxes (KPI Bonus)]]+Payroll_Data_Analysis[[#This Row],[Payroll Taxes (Vacation)]]+Payroll_Data_Analysis[[#This Row],[Payroll Taxes (Salary)]]</f>
        <v>162637.75037542661</v>
      </c>
      <c r="W466" s="13">
        <f>Payroll_Data_Analysis[[#This Row],[Total Payroll]]+Payroll_Data_Analysis[[#This Row],[Total Payroll Taxes]]</f>
        <v>701173.3476450512</v>
      </c>
    </row>
    <row r="467" spans="1:23">
      <c r="A467" s="11" t="s">
        <v>666</v>
      </c>
      <c r="B467" s="5" t="s">
        <v>470</v>
      </c>
      <c r="C467" s="5" t="s">
        <v>740</v>
      </c>
      <c r="D467" s="28" t="str">
        <f>VLOOKUP(Payroll_Data_Analysis[[#This Row],[Position]],Position_Map!$A$2:$B$58,2,FALSE)</f>
        <v>Facilities</v>
      </c>
      <c r="E467" s="6">
        <v>1</v>
      </c>
      <c r="F467" s="16">
        <v>40000</v>
      </c>
      <c r="G467" s="16">
        <v>35000</v>
      </c>
      <c r="H467" s="16"/>
      <c r="I467" s="16">
        <f>dataset!$F467-dataset!$J467-dataset!$G467-dataset!$H467</f>
        <v>2200</v>
      </c>
      <c r="J467" s="16">
        <f>dataset!$G467*0.08</f>
        <v>2800</v>
      </c>
      <c r="K467" s="16">
        <f>dataset!$F467*12</f>
        <v>480000</v>
      </c>
      <c r="L467" s="17">
        <f>IF(dataset!$G467&gt;=200000,38%,IF(dataset!$G467&lt;=145000,12.3%,))</f>
        <v>0.12300000000000001</v>
      </c>
      <c r="M467" s="7">
        <f>dataset!$G467*L468*12</f>
        <v>51660</v>
      </c>
      <c r="N46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467" s="7">
        <f>dataset!$K467+dataset!$M467</f>
        <v>531660</v>
      </c>
      <c r="P467" s="7">
        <f>Payroll_Data_Analysis[[#This Row],[Annual Salary + KPI Bonus]]/12/29.3*31</f>
        <v>46875.597269624574</v>
      </c>
      <c r="Q467" s="7">
        <f>IF(Payroll_Data_Analysis[[#This Row],[Vacation Reserve]]&lt;=2979000,Payroll_Data_Analysis[[#This Row],[Vacation Reserve]]*0.302,2979000*0.302+(Payroll_Data_Analysis[[#This Row],[Vacation Reserve]]-2979000)*0.151)</f>
        <v>14156.43037542662</v>
      </c>
      <c r="R467" s="7">
        <f>Payroll_Data_Analysis[[#This Row],[Monthly Salary]]*11</f>
        <v>440000</v>
      </c>
      <c r="S467" s="7">
        <f>IF(Payroll_Data_Analysis[[#This Row],[11-Month Salary]]&lt;=2979000,Payroll_Data_Analysis[[#This Row],[11-Month Salary]]*0.302,2979000*0.302+(Payroll_Data_Analysis[[#This Row],[11-Month Salary]]-2979000)*0.151)</f>
        <v>132880</v>
      </c>
      <c r="T467" s="7">
        <f>IF(Payroll_Data_Analysis[[#This Row],[Base Salary (Monthly)]]&gt;=200000,69507,IF(Payroll_Data_Analysis[[#This Row],[Base Salary (Monthly)]]&gt;=145000,52684,35103))</f>
        <v>35103</v>
      </c>
      <c r="U467" s="7">
        <f>Payroll_Data_Analysis[[#This Row],[Annual KPI Bonus Reserve]]+Payroll_Data_Analysis[[#This Row],[Vacation Reserve]]+Payroll_Data_Analysis[[#This Row],[11-Month Salary]]</f>
        <v>538535.59726962459</v>
      </c>
      <c r="V467" s="7">
        <f>Payroll_Data_Analysis[[#This Row],[Payroll Taxes (KPI Bonus)]]+Payroll_Data_Analysis[[#This Row],[Payroll Taxes (Vacation)]]+Payroll_Data_Analysis[[#This Row],[Payroll Taxes (Salary)]]</f>
        <v>162637.75037542661</v>
      </c>
      <c r="W467" s="13">
        <f>Payroll_Data_Analysis[[#This Row],[Total Payroll]]+Payroll_Data_Analysis[[#This Row],[Total Payroll Taxes]]</f>
        <v>701173.3476450512</v>
      </c>
    </row>
    <row r="468" spans="1:23">
      <c r="A468" s="11" t="s">
        <v>667</v>
      </c>
      <c r="B468" s="5" t="s">
        <v>471</v>
      </c>
      <c r="C468" s="5" t="s">
        <v>713</v>
      </c>
      <c r="D468" s="28" t="str">
        <f>VLOOKUP(Payroll_Data_Analysis[[#This Row],[Position]],Position_Map!$A$2:$B$58,2,FALSE)</f>
        <v>Management</v>
      </c>
      <c r="E468" s="6">
        <v>1</v>
      </c>
      <c r="F468" s="16">
        <v>211600</v>
      </c>
      <c r="G468" s="16">
        <v>145000</v>
      </c>
      <c r="H468" s="16"/>
      <c r="I468" s="16">
        <f>dataset!$F468-dataset!$J468-dataset!$G468-dataset!$H468</f>
        <v>55000</v>
      </c>
      <c r="J468" s="16">
        <f>dataset!$G468*0.08</f>
        <v>11600</v>
      </c>
      <c r="K468" s="16">
        <f>dataset!$F468*12</f>
        <v>2539200</v>
      </c>
      <c r="L468" s="17">
        <f>IF(dataset!$G468&gt;=200000,38%,IF(dataset!$G468&lt;=145000,12.3%,))</f>
        <v>0.12300000000000001</v>
      </c>
      <c r="M468" s="7">
        <f>dataset!$G468*L469*12</f>
        <v>214020</v>
      </c>
      <c r="N46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468" s="7">
        <f>dataset!$K468+dataset!$M468</f>
        <v>2753220</v>
      </c>
      <c r="P468" s="7">
        <f>Payroll_Data_Analysis[[#This Row],[Annual Salary + KPI Bonus]]/12/29.3*31</f>
        <v>242746.92832764506</v>
      </c>
      <c r="Q468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468" s="7">
        <f>Payroll_Data_Analysis[[#This Row],[Monthly Salary]]*11</f>
        <v>2327600</v>
      </c>
      <c r="S468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468" s="7">
        <f>IF(Payroll_Data_Analysis[[#This Row],[Base Salary (Monthly)]]&gt;=200000,69507,IF(Payroll_Data_Analysis[[#This Row],[Base Salary (Monthly)]]&gt;=145000,52684,35103))</f>
        <v>52684</v>
      </c>
      <c r="U468" s="7">
        <f>Payroll_Data_Analysis[[#This Row],[Annual KPI Bonus Reserve]]+Payroll_Data_Analysis[[#This Row],[Vacation Reserve]]+Payroll_Data_Analysis[[#This Row],[11-Month Salary]]</f>
        <v>2784366.9283276452</v>
      </c>
      <c r="V468" s="7">
        <f>Payroll_Data_Analysis[[#This Row],[Payroll Taxes (KPI Bonus)]]+Payroll_Data_Analysis[[#This Row],[Payroll Taxes (Vacation)]]+Payroll_Data_Analysis[[#This Row],[Payroll Taxes (Salary)]]</f>
        <v>840878.81235494872</v>
      </c>
      <c r="W468" s="13">
        <f>Payroll_Data_Analysis[[#This Row],[Total Payroll]]+Payroll_Data_Analysis[[#This Row],[Total Payroll Taxes]]</f>
        <v>3625245.740682594</v>
      </c>
    </row>
    <row r="469" spans="1:23">
      <c r="A469" s="11" t="s">
        <v>667</v>
      </c>
      <c r="B469" s="5" t="s">
        <v>472</v>
      </c>
      <c r="C469" s="5" t="s">
        <v>703</v>
      </c>
      <c r="D469" s="28" t="str">
        <f>VLOOKUP(Payroll_Data_Analysis[[#This Row],[Position]],Position_Map!$A$2:$B$58,2,FALSE)</f>
        <v>Management</v>
      </c>
      <c r="E469" s="6">
        <v>1</v>
      </c>
      <c r="F469" s="16">
        <v>184100</v>
      </c>
      <c r="G469" s="16">
        <v>145000</v>
      </c>
      <c r="H469" s="16"/>
      <c r="I469" s="16">
        <f>dataset!$F469-dataset!$J469-dataset!$G469-dataset!$H469</f>
        <v>27500</v>
      </c>
      <c r="J469" s="16">
        <f>dataset!$G469*0.08</f>
        <v>11600</v>
      </c>
      <c r="K469" s="16">
        <f>dataset!$F469*12</f>
        <v>2209200</v>
      </c>
      <c r="L469" s="17">
        <f>IF(dataset!$G469&gt;=200000,38%,IF(dataset!$G469&lt;=145000,12.3%,))</f>
        <v>0.12300000000000001</v>
      </c>
      <c r="M469" s="7">
        <f>dataset!$G469*L470*12</f>
        <v>214020</v>
      </c>
      <c r="N46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469" s="7">
        <f>dataset!$K469+dataset!$M469</f>
        <v>2423220</v>
      </c>
      <c r="P469" s="7">
        <f>Payroll_Data_Analysis[[#This Row],[Annual Salary + KPI Bonus]]/12/29.3*31</f>
        <v>213651.36518771332</v>
      </c>
      <c r="Q469" s="7">
        <f>IF(Payroll_Data_Analysis[[#This Row],[Vacation Reserve]]&lt;=2979000,Payroll_Data_Analysis[[#This Row],[Vacation Reserve]]*0.302,2979000*0.302+(Payroll_Data_Analysis[[#This Row],[Vacation Reserve]]-2979000)*0.151)</f>
        <v>64522.712286689421</v>
      </c>
      <c r="R469" s="7">
        <f>Payroll_Data_Analysis[[#This Row],[Monthly Salary]]*11</f>
        <v>2025100</v>
      </c>
      <c r="S469" s="7">
        <f>IF(Payroll_Data_Analysis[[#This Row],[11-Month Salary]]&lt;=2979000,Payroll_Data_Analysis[[#This Row],[11-Month Salary]]*0.302,2979000*0.302+(Payroll_Data_Analysis[[#This Row],[11-Month Salary]]-2979000)*0.151)</f>
        <v>611580.19999999995</v>
      </c>
      <c r="T469" s="7">
        <f>IF(Payroll_Data_Analysis[[#This Row],[Base Salary (Monthly)]]&gt;=200000,69507,IF(Payroll_Data_Analysis[[#This Row],[Base Salary (Monthly)]]&gt;=145000,52684,35103))</f>
        <v>52684</v>
      </c>
      <c r="U469" s="7">
        <f>Payroll_Data_Analysis[[#This Row],[Annual KPI Bonus Reserve]]+Payroll_Data_Analysis[[#This Row],[Vacation Reserve]]+Payroll_Data_Analysis[[#This Row],[11-Month Salary]]</f>
        <v>2452771.3651877134</v>
      </c>
      <c r="V469" s="7">
        <f>Payroll_Data_Analysis[[#This Row],[Payroll Taxes (KPI Bonus)]]+Payroll_Data_Analysis[[#This Row],[Payroll Taxes (Vacation)]]+Payroll_Data_Analysis[[#This Row],[Payroll Taxes (Salary)]]</f>
        <v>740736.95228668931</v>
      </c>
      <c r="W469" s="13">
        <f>Payroll_Data_Analysis[[#This Row],[Total Payroll]]+Payroll_Data_Analysis[[#This Row],[Total Payroll Taxes]]</f>
        <v>3193508.3174744025</v>
      </c>
    </row>
    <row r="470" spans="1:23">
      <c r="A470" s="11" t="s">
        <v>667</v>
      </c>
      <c r="B470" s="5" t="s">
        <v>473</v>
      </c>
      <c r="C470" s="5" t="s">
        <v>709</v>
      </c>
      <c r="D470" s="28" t="str">
        <f>VLOOKUP(Payroll_Data_Analysis[[#This Row],[Position]],Position_Map!$A$2:$B$58,2,FALSE)</f>
        <v>Engineering</v>
      </c>
      <c r="E470" s="6">
        <v>1</v>
      </c>
      <c r="F470" s="16">
        <v>148000</v>
      </c>
      <c r="G470" s="16">
        <v>100000</v>
      </c>
      <c r="H470" s="16"/>
      <c r="I470" s="16">
        <f>dataset!$F470-dataset!$J470-dataset!$G470-dataset!$H470</f>
        <v>40000</v>
      </c>
      <c r="J470" s="16">
        <f>dataset!$G470*0.08</f>
        <v>8000</v>
      </c>
      <c r="K470" s="16">
        <f>dataset!$F470*12</f>
        <v>1776000</v>
      </c>
      <c r="L470" s="17">
        <f>IF(dataset!$G470&gt;=200000,38%,IF(dataset!$G470&lt;=145000,12.3%,))</f>
        <v>0.12300000000000001</v>
      </c>
      <c r="M470" s="7">
        <f>dataset!$G470*L471*12</f>
        <v>147600.00000000003</v>
      </c>
      <c r="N47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470" s="7">
        <f>dataset!$K470+dataset!$M470</f>
        <v>1923600</v>
      </c>
      <c r="P470" s="7">
        <f>Payroll_Data_Analysis[[#This Row],[Annual Salary + KPI Bonus]]/12/29.3*31</f>
        <v>169600.68259385665</v>
      </c>
      <c r="Q470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470" s="7">
        <f>Payroll_Data_Analysis[[#This Row],[Monthly Salary]]*11</f>
        <v>1628000</v>
      </c>
      <c r="S470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470" s="7">
        <f>IF(Payroll_Data_Analysis[[#This Row],[Base Salary (Monthly)]]&gt;=200000,69507,IF(Payroll_Data_Analysis[[#This Row],[Base Salary (Monthly)]]&gt;=145000,52684,35103))</f>
        <v>35103</v>
      </c>
      <c r="U470" s="7">
        <f>Payroll_Data_Analysis[[#This Row],[Annual KPI Bonus Reserve]]+Payroll_Data_Analysis[[#This Row],[Vacation Reserve]]+Payroll_Data_Analysis[[#This Row],[11-Month Salary]]</f>
        <v>1945200.6825938567</v>
      </c>
      <c r="V470" s="7">
        <f>Payroll_Data_Analysis[[#This Row],[Payroll Taxes (KPI Bonus)]]+Payroll_Data_Analysis[[#This Row],[Payroll Taxes (Vacation)]]+Payroll_Data_Analysis[[#This Row],[Payroll Taxes (Salary)]]</f>
        <v>587450.60614334466</v>
      </c>
      <c r="W470" s="13">
        <f>Payroll_Data_Analysis[[#This Row],[Total Payroll]]+Payroll_Data_Analysis[[#This Row],[Total Payroll Taxes]]</f>
        <v>2532651.2887372011</v>
      </c>
    </row>
    <row r="471" spans="1:23">
      <c r="A471" s="11" t="s">
        <v>667</v>
      </c>
      <c r="B471" s="5" t="s">
        <v>474</v>
      </c>
      <c r="C471" s="5" t="s">
        <v>705</v>
      </c>
      <c r="D471" s="28" t="str">
        <f>VLOOKUP(Payroll_Data_Analysis[[#This Row],[Position]],Position_Map!$A$2:$B$58,2,FALSE)</f>
        <v>Professional</v>
      </c>
      <c r="E471" s="6">
        <v>1</v>
      </c>
      <c r="F471" s="16">
        <v>89000</v>
      </c>
      <c r="G471" s="16">
        <v>60000</v>
      </c>
      <c r="H471" s="16"/>
      <c r="I471" s="16">
        <f>dataset!$F471-dataset!$J471-dataset!$G471-dataset!$H471</f>
        <v>24200</v>
      </c>
      <c r="J471" s="16">
        <f>dataset!$G471*0.08</f>
        <v>4800</v>
      </c>
      <c r="K471" s="16">
        <f>dataset!$F471*12</f>
        <v>1068000</v>
      </c>
      <c r="L471" s="17">
        <f>IF(dataset!$G471&gt;=200000,38%,IF(dataset!$G471&lt;=145000,12.3%,))</f>
        <v>0.12300000000000001</v>
      </c>
      <c r="M471" s="7">
        <f>dataset!$G471*L472*12</f>
        <v>88560.000000000015</v>
      </c>
      <c r="N47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1" s="7">
        <f>dataset!$K471+dataset!$M471</f>
        <v>1156560</v>
      </c>
      <c r="P471" s="7">
        <f>Payroll_Data_Analysis[[#This Row],[Annual Salary + KPI Bonus]]/12/29.3*31</f>
        <v>101972.01365187713</v>
      </c>
      <c r="Q471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71" s="7">
        <f>Payroll_Data_Analysis[[#This Row],[Monthly Salary]]*11</f>
        <v>979000</v>
      </c>
      <c r="S471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71" s="7">
        <f>IF(Payroll_Data_Analysis[[#This Row],[Base Salary (Monthly)]]&gt;=200000,69507,IF(Payroll_Data_Analysis[[#This Row],[Base Salary (Monthly)]]&gt;=145000,52684,35103))</f>
        <v>35103</v>
      </c>
      <c r="U471" s="7">
        <f>Payroll_Data_Analysis[[#This Row],[Annual KPI Bonus Reserve]]+Payroll_Data_Analysis[[#This Row],[Vacation Reserve]]+Payroll_Data_Analysis[[#This Row],[11-Month Salary]]</f>
        <v>1169532.0136518772</v>
      </c>
      <c r="V471" s="7">
        <f>Payroll_Data_Analysis[[#This Row],[Payroll Taxes (KPI Bonus)]]+Payroll_Data_Analysis[[#This Row],[Payroll Taxes (Vacation)]]+Payroll_Data_Analysis[[#This Row],[Payroll Taxes (Salary)]]</f>
        <v>353198.66812286689</v>
      </c>
      <c r="W471" s="13">
        <f>Payroll_Data_Analysis[[#This Row],[Total Payroll]]+Payroll_Data_Analysis[[#This Row],[Total Payroll Taxes]]</f>
        <v>1522730.6817747441</v>
      </c>
    </row>
    <row r="472" spans="1:23">
      <c r="A472" s="11" t="s">
        <v>667</v>
      </c>
      <c r="B472" s="5" t="s">
        <v>475</v>
      </c>
      <c r="C472" s="5" t="s">
        <v>705</v>
      </c>
      <c r="D472" s="28" t="str">
        <f>VLOOKUP(Payroll_Data_Analysis[[#This Row],[Position]],Position_Map!$A$2:$B$58,2,FALSE)</f>
        <v>Professional</v>
      </c>
      <c r="E472" s="6">
        <v>1</v>
      </c>
      <c r="F472" s="16">
        <v>89000</v>
      </c>
      <c r="G472" s="16">
        <v>60000</v>
      </c>
      <c r="H472" s="16"/>
      <c r="I472" s="16">
        <f>dataset!$F472-dataset!$J472-dataset!$G472-dataset!$H472</f>
        <v>24200</v>
      </c>
      <c r="J472" s="16">
        <f>dataset!$G472*0.08</f>
        <v>4800</v>
      </c>
      <c r="K472" s="16">
        <f>dataset!$F472*12</f>
        <v>1068000</v>
      </c>
      <c r="L472" s="17">
        <f>IF(dataset!$G472&gt;=200000,38%,IF(dataset!$G472&lt;=145000,12.3%,))</f>
        <v>0.12300000000000001</v>
      </c>
      <c r="M472" s="7">
        <f>dataset!$G472*L473*12</f>
        <v>88560.000000000015</v>
      </c>
      <c r="N47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2" s="7">
        <f>dataset!$K472+dataset!$M472</f>
        <v>1156560</v>
      </c>
      <c r="P472" s="7">
        <f>Payroll_Data_Analysis[[#This Row],[Annual Salary + KPI Bonus]]/12/29.3*31</f>
        <v>101972.01365187713</v>
      </c>
      <c r="Q472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72" s="7">
        <f>Payroll_Data_Analysis[[#This Row],[Monthly Salary]]*11</f>
        <v>979000</v>
      </c>
      <c r="S472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72" s="7">
        <f>IF(Payroll_Data_Analysis[[#This Row],[Base Salary (Monthly)]]&gt;=200000,69507,IF(Payroll_Data_Analysis[[#This Row],[Base Salary (Monthly)]]&gt;=145000,52684,35103))</f>
        <v>35103</v>
      </c>
      <c r="U472" s="7">
        <f>Payroll_Data_Analysis[[#This Row],[Annual KPI Bonus Reserve]]+Payroll_Data_Analysis[[#This Row],[Vacation Reserve]]+Payroll_Data_Analysis[[#This Row],[11-Month Salary]]</f>
        <v>1169532.0136518772</v>
      </c>
      <c r="V472" s="7">
        <f>Payroll_Data_Analysis[[#This Row],[Payroll Taxes (KPI Bonus)]]+Payroll_Data_Analysis[[#This Row],[Payroll Taxes (Vacation)]]+Payroll_Data_Analysis[[#This Row],[Payroll Taxes (Salary)]]</f>
        <v>353198.66812286689</v>
      </c>
      <c r="W472" s="13">
        <f>Payroll_Data_Analysis[[#This Row],[Total Payroll]]+Payroll_Data_Analysis[[#This Row],[Total Payroll Taxes]]</f>
        <v>1522730.6817747441</v>
      </c>
    </row>
    <row r="473" spans="1:23">
      <c r="A473" s="11" t="s">
        <v>667</v>
      </c>
      <c r="B473" s="5" t="s">
        <v>476</v>
      </c>
      <c r="C473" s="5" t="s">
        <v>705</v>
      </c>
      <c r="D473" s="28" t="str">
        <f>VLOOKUP(Payroll_Data_Analysis[[#This Row],[Position]],Position_Map!$A$2:$B$58,2,FALSE)</f>
        <v>Professional</v>
      </c>
      <c r="E473" s="6">
        <v>1</v>
      </c>
      <c r="F473" s="16">
        <v>89000</v>
      </c>
      <c r="G473" s="16">
        <v>60000</v>
      </c>
      <c r="H473" s="16"/>
      <c r="I473" s="16">
        <f>dataset!$F473-dataset!$J473-dataset!$G473-dataset!$H473</f>
        <v>24200</v>
      </c>
      <c r="J473" s="16">
        <f>dataset!$G473*0.08</f>
        <v>4800</v>
      </c>
      <c r="K473" s="16">
        <f>dataset!$F473*12</f>
        <v>1068000</v>
      </c>
      <c r="L473" s="17">
        <f>IF(dataset!$G473&gt;=200000,38%,IF(dataset!$G473&lt;=145000,12.3%,))</f>
        <v>0.12300000000000001</v>
      </c>
      <c r="M473" s="7">
        <f>dataset!$G473*L474*12</f>
        <v>88560.000000000015</v>
      </c>
      <c r="N47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3" s="7">
        <f>dataset!$K473+dataset!$M473</f>
        <v>1156560</v>
      </c>
      <c r="P473" s="7">
        <f>Payroll_Data_Analysis[[#This Row],[Annual Salary + KPI Bonus]]/12/29.3*31</f>
        <v>101972.01365187713</v>
      </c>
      <c r="Q473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73" s="7">
        <f>Payroll_Data_Analysis[[#This Row],[Monthly Salary]]*11</f>
        <v>979000</v>
      </c>
      <c r="S473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73" s="7">
        <f>IF(Payroll_Data_Analysis[[#This Row],[Base Salary (Monthly)]]&gt;=200000,69507,IF(Payroll_Data_Analysis[[#This Row],[Base Salary (Monthly)]]&gt;=145000,52684,35103))</f>
        <v>35103</v>
      </c>
      <c r="U473" s="7">
        <f>Payroll_Data_Analysis[[#This Row],[Annual KPI Bonus Reserve]]+Payroll_Data_Analysis[[#This Row],[Vacation Reserve]]+Payroll_Data_Analysis[[#This Row],[11-Month Salary]]</f>
        <v>1169532.0136518772</v>
      </c>
      <c r="V473" s="7">
        <f>Payroll_Data_Analysis[[#This Row],[Payroll Taxes (KPI Bonus)]]+Payroll_Data_Analysis[[#This Row],[Payroll Taxes (Vacation)]]+Payroll_Data_Analysis[[#This Row],[Payroll Taxes (Salary)]]</f>
        <v>353198.66812286689</v>
      </c>
      <c r="W473" s="13">
        <f>Payroll_Data_Analysis[[#This Row],[Total Payroll]]+Payroll_Data_Analysis[[#This Row],[Total Payroll Taxes]]</f>
        <v>1522730.6817747441</v>
      </c>
    </row>
    <row r="474" spans="1:23">
      <c r="A474" s="11" t="s">
        <v>667</v>
      </c>
      <c r="B474" s="5" t="s">
        <v>477</v>
      </c>
      <c r="C474" s="5" t="s">
        <v>705</v>
      </c>
      <c r="D474" s="28" t="str">
        <f>VLOOKUP(Payroll_Data_Analysis[[#This Row],[Position]],Position_Map!$A$2:$B$58,2,FALSE)</f>
        <v>Professional</v>
      </c>
      <c r="E474" s="6">
        <v>1</v>
      </c>
      <c r="F474" s="7">
        <v>74000</v>
      </c>
      <c r="G474" s="7">
        <v>60000</v>
      </c>
      <c r="H474" s="7"/>
      <c r="I474" s="7">
        <f>dataset!$F474-dataset!$J474-dataset!$G474-dataset!$H474</f>
        <v>9200</v>
      </c>
      <c r="J474" s="7">
        <f>dataset!$G474*0.08</f>
        <v>4800</v>
      </c>
      <c r="K474" s="7">
        <f>dataset!$F474*12</f>
        <v>888000</v>
      </c>
      <c r="L474" s="12">
        <f>IF(dataset!$G474&gt;=200000,38%,IF(dataset!$G474&lt;=145000,12.3%,))</f>
        <v>0.12300000000000001</v>
      </c>
      <c r="M474" s="7">
        <f>dataset!$G474*L475*12</f>
        <v>88560.000000000015</v>
      </c>
      <c r="N47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4" s="7">
        <f>dataset!$K474+dataset!$M474</f>
        <v>976560</v>
      </c>
      <c r="P474" s="7">
        <f>Payroll_Data_Analysis[[#This Row],[Annual Salary + KPI Bonus]]/12/29.3*31</f>
        <v>86101.706484641632</v>
      </c>
      <c r="Q474" s="7">
        <f>IF(Payroll_Data_Analysis[[#This Row],[Vacation Reserve]]&lt;=2979000,Payroll_Data_Analysis[[#This Row],[Vacation Reserve]]*0.302,2979000*0.302+(Payroll_Data_Analysis[[#This Row],[Vacation Reserve]]-2979000)*0.151)</f>
        <v>26002.715358361773</v>
      </c>
      <c r="R474" s="7">
        <f>Payroll_Data_Analysis[[#This Row],[Monthly Salary]]*11</f>
        <v>814000</v>
      </c>
      <c r="S474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474" s="7">
        <f>IF(Payroll_Data_Analysis[[#This Row],[Base Salary (Monthly)]]&gt;=200000,69507,IF(Payroll_Data_Analysis[[#This Row],[Base Salary (Monthly)]]&gt;=145000,52684,35103))</f>
        <v>35103</v>
      </c>
      <c r="U474" s="7">
        <f>Payroll_Data_Analysis[[#This Row],[Annual KPI Bonus Reserve]]+Payroll_Data_Analysis[[#This Row],[Vacation Reserve]]+Payroll_Data_Analysis[[#This Row],[11-Month Salary]]</f>
        <v>988661.70648464165</v>
      </c>
      <c r="V474" s="7">
        <f>Payroll_Data_Analysis[[#This Row],[Payroll Taxes (KPI Bonus)]]+Payroll_Data_Analysis[[#This Row],[Payroll Taxes (Vacation)]]+Payroll_Data_Analysis[[#This Row],[Payroll Taxes (Salary)]]</f>
        <v>298575.83535836177</v>
      </c>
      <c r="W474" s="13">
        <f>Payroll_Data_Analysis[[#This Row],[Total Payroll]]+Payroll_Data_Analysis[[#This Row],[Total Payroll Taxes]]</f>
        <v>1287237.5418430034</v>
      </c>
    </row>
    <row r="475" spans="1:23">
      <c r="A475" s="11" t="s">
        <v>667</v>
      </c>
      <c r="B475" s="5" t="s">
        <v>478</v>
      </c>
      <c r="C475" s="5" t="s">
        <v>705</v>
      </c>
      <c r="D475" s="28" t="str">
        <f>VLOOKUP(Payroll_Data_Analysis[[#This Row],[Position]],Position_Map!$A$2:$B$58,2,FALSE)</f>
        <v>Professional</v>
      </c>
      <c r="E475" s="6">
        <v>1</v>
      </c>
      <c r="F475" s="7">
        <v>73000</v>
      </c>
      <c r="G475" s="7">
        <v>60000</v>
      </c>
      <c r="H475" s="7"/>
      <c r="I475" s="7">
        <f>dataset!$F475-dataset!$J475-dataset!$G475-dataset!$H475</f>
        <v>8200</v>
      </c>
      <c r="J475" s="7">
        <f>dataset!$G475*0.08</f>
        <v>4800</v>
      </c>
      <c r="K475" s="7">
        <f>dataset!$F475*12</f>
        <v>876000</v>
      </c>
      <c r="L475" s="12">
        <f>IF(dataset!$G475&gt;=200000,38%,IF(dataset!$G475&lt;=145000,12.3%,))</f>
        <v>0.12300000000000001</v>
      </c>
      <c r="M475" s="7">
        <f>dataset!$G475*L476*12</f>
        <v>88560.000000000015</v>
      </c>
      <c r="N47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5" s="7">
        <f>dataset!$K475+dataset!$M475</f>
        <v>964560</v>
      </c>
      <c r="P475" s="7">
        <f>Payroll_Data_Analysis[[#This Row],[Annual Salary + KPI Bonus]]/12/29.3*31</f>
        <v>85043.686006825927</v>
      </c>
      <c r="Q475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75" s="7">
        <f>Payroll_Data_Analysis[[#This Row],[Monthly Salary]]*11</f>
        <v>803000</v>
      </c>
      <c r="S475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75" s="7">
        <f>IF(Payroll_Data_Analysis[[#This Row],[Base Salary (Monthly)]]&gt;=200000,69507,IF(Payroll_Data_Analysis[[#This Row],[Base Salary (Monthly)]]&gt;=145000,52684,35103))</f>
        <v>35103</v>
      </c>
      <c r="U475" s="7">
        <f>Payroll_Data_Analysis[[#This Row],[Annual KPI Bonus Reserve]]+Payroll_Data_Analysis[[#This Row],[Vacation Reserve]]+Payroll_Data_Analysis[[#This Row],[11-Month Salary]]</f>
        <v>976603.68600682588</v>
      </c>
      <c r="V475" s="7">
        <f>Payroll_Data_Analysis[[#This Row],[Payroll Taxes (KPI Bonus)]]+Payroll_Data_Analysis[[#This Row],[Payroll Taxes (Vacation)]]+Payroll_Data_Analysis[[#This Row],[Payroll Taxes (Salary)]]</f>
        <v>294934.31317406142</v>
      </c>
      <c r="W475" s="13">
        <f>Payroll_Data_Analysis[[#This Row],[Total Payroll]]+Payroll_Data_Analysis[[#This Row],[Total Payroll Taxes]]</f>
        <v>1271537.9991808874</v>
      </c>
    </row>
    <row r="476" spans="1:23">
      <c r="A476" s="11" t="s">
        <v>667</v>
      </c>
      <c r="B476" s="5" t="s">
        <v>479</v>
      </c>
      <c r="C476" s="5" t="s">
        <v>705</v>
      </c>
      <c r="D476" s="28" t="str">
        <f>VLOOKUP(Payroll_Data_Analysis[[#This Row],[Position]],Position_Map!$A$2:$B$58,2,FALSE)</f>
        <v>Professional</v>
      </c>
      <c r="E476" s="6">
        <v>1</v>
      </c>
      <c r="F476" s="7">
        <v>73000</v>
      </c>
      <c r="G476" s="7">
        <v>60000</v>
      </c>
      <c r="H476" s="7"/>
      <c r="I476" s="7">
        <f>dataset!$F476-dataset!$J476-dataset!$G476-dataset!$H476</f>
        <v>8200</v>
      </c>
      <c r="J476" s="7">
        <f>dataset!$G476*0.08</f>
        <v>4800</v>
      </c>
      <c r="K476" s="7">
        <f>dataset!$F476*12</f>
        <v>876000</v>
      </c>
      <c r="L476" s="12">
        <f>IF(dataset!$G476&gt;=200000,38%,IF(dataset!$G476&lt;=145000,12.3%,))</f>
        <v>0.12300000000000001</v>
      </c>
      <c r="M476" s="7">
        <f>dataset!$G476*L477*12</f>
        <v>88560.000000000015</v>
      </c>
      <c r="N47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6" s="7">
        <f>dataset!$K476+dataset!$M476</f>
        <v>964560</v>
      </c>
      <c r="P476" s="7">
        <f>Payroll_Data_Analysis[[#This Row],[Annual Salary + KPI Bonus]]/12/29.3*31</f>
        <v>85043.686006825927</v>
      </c>
      <c r="Q476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76" s="7">
        <f>Payroll_Data_Analysis[[#This Row],[Monthly Salary]]*11</f>
        <v>803000</v>
      </c>
      <c r="S476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76" s="7">
        <f>IF(Payroll_Data_Analysis[[#This Row],[Base Salary (Monthly)]]&gt;=200000,69507,IF(Payroll_Data_Analysis[[#This Row],[Base Salary (Monthly)]]&gt;=145000,52684,35103))</f>
        <v>35103</v>
      </c>
      <c r="U476" s="7">
        <f>Payroll_Data_Analysis[[#This Row],[Annual KPI Bonus Reserve]]+Payroll_Data_Analysis[[#This Row],[Vacation Reserve]]+Payroll_Data_Analysis[[#This Row],[11-Month Salary]]</f>
        <v>976603.68600682588</v>
      </c>
      <c r="V476" s="7">
        <f>Payroll_Data_Analysis[[#This Row],[Payroll Taxes (KPI Bonus)]]+Payroll_Data_Analysis[[#This Row],[Payroll Taxes (Vacation)]]+Payroll_Data_Analysis[[#This Row],[Payroll Taxes (Salary)]]</f>
        <v>294934.31317406142</v>
      </c>
      <c r="W476" s="13">
        <f>Payroll_Data_Analysis[[#This Row],[Total Payroll]]+Payroll_Data_Analysis[[#This Row],[Total Payroll Taxes]]</f>
        <v>1271537.9991808874</v>
      </c>
    </row>
    <row r="477" spans="1:23">
      <c r="A477" s="11" t="s">
        <v>667</v>
      </c>
      <c r="B477" s="5" t="s">
        <v>480</v>
      </c>
      <c r="C477" s="5" t="s">
        <v>705</v>
      </c>
      <c r="D477" s="28" t="str">
        <f>VLOOKUP(Payroll_Data_Analysis[[#This Row],[Position]],Position_Map!$A$2:$B$58,2,FALSE)</f>
        <v>Professional</v>
      </c>
      <c r="E477" s="6">
        <v>1</v>
      </c>
      <c r="F477" s="7">
        <v>73000</v>
      </c>
      <c r="G477" s="7">
        <v>60000</v>
      </c>
      <c r="H477" s="7"/>
      <c r="I477" s="7">
        <f>dataset!$F477-dataset!$J477-dataset!$G477-dataset!$H477</f>
        <v>8200</v>
      </c>
      <c r="J477" s="7">
        <f>dataset!$G477*0.08</f>
        <v>4800</v>
      </c>
      <c r="K477" s="7">
        <f>dataset!$F477*12</f>
        <v>876000</v>
      </c>
      <c r="L477" s="12">
        <f>IF(dataset!$G477&gt;=200000,38%,IF(dataset!$G477&lt;=145000,12.3%,))</f>
        <v>0.12300000000000001</v>
      </c>
      <c r="M477" s="7">
        <f>dataset!$G477*L478*12</f>
        <v>88560.000000000015</v>
      </c>
      <c r="N47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7" s="7">
        <f>dataset!$K477+dataset!$M477</f>
        <v>964560</v>
      </c>
      <c r="P477" s="7">
        <f>Payroll_Data_Analysis[[#This Row],[Annual Salary + KPI Bonus]]/12/29.3*31</f>
        <v>85043.686006825927</v>
      </c>
      <c r="Q477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77" s="7">
        <f>Payroll_Data_Analysis[[#This Row],[Monthly Salary]]*11</f>
        <v>803000</v>
      </c>
      <c r="S477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77" s="7">
        <f>IF(Payroll_Data_Analysis[[#This Row],[Base Salary (Monthly)]]&gt;=200000,69507,IF(Payroll_Data_Analysis[[#This Row],[Base Salary (Monthly)]]&gt;=145000,52684,35103))</f>
        <v>35103</v>
      </c>
      <c r="U477" s="7">
        <f>Payroll_Data_Analysis[[#This Row],[Annual KPI Bonus Reserve]]+Payroll_Data_Analysis[[#This Row],[Vacation Reserve]]+Payroll_Data_Analysis[[#This Row],[11-Month Salary]]</f>
        <v>976603.68600682588</v>
      </c>
      <c r="V477" s="7">
        <f>Payroll_Data_Analysis[[#This Row],[Payroll Taxes (KPI Bonus)]]+Payroll_Data_Analysis[[#This Row],[Payroll Taxes (Vacation)]]+Payroll_Data_Analysis[[#This Row],[Payroll Taxes (Salary)]]</f>
        <v>294934.31317406142</v>
      </c>
      <c r="W477" s="13">
        <f>Payroll_Data_Analysis[[#This Row],[Total Payroll]]+Payroll_Data_Analysis[[#This Row],[Total Payroll Taxes]]</f>
        <v>1271537.9991808874</v>
      </c>
    </row>
    <row r="478" spans="1:23">
      <c r="A478" s="11" t="s">
        <v>667</v>
      </c>
      <c r="B478" s="5" t="s">
        <v>481</v>
      </c>
      <c r="C478" s="5" t="s">
        <v>705</v>
      </c>
      <c r="D478" s="28" t="str">
        <f>VLOOKUP(Payroll_Data_Analysis[[#This Row],[Position]],Position_Map!$A$2:$B$58,2,FALSE)</f>
        <v>Professional</v>
      </c>
      <c r="E478" s="6">
        <v>1</v>
      </c>
      <c r="F478" s="7">
        <v>73000</v>
      </c>
      <c r="G478" s="7">
        <v>60000</v>
      </c>
      <c r="H478" s="7"/>
      <c r="I478" s="7">
        <f>dataset!$F478-dataset!$J478-dataset!$G478-dataset!$H478</f>
        <v>8200</v>
      </c>
      <c r="J478" s="7">
        <f>dataset!$G478*0.08</f>
        <v>4800</v>
      </c>
      <c r="K478" s="7">
        <f>dataset!$F478*12</f>
        <v>876000</v>
      </c>
      <c r="L478" s="12">
        <f>IF(dataset!$G478&gt;=200000,38%,IF(dataset!$G478&lt;=145000,12.3%,))</f>
        <v>0.12300000000000001</v>
      </c>
      <c r="M478" s="7">
        <f>dataset!$G478*L479*12</f>
        <v>88560.000000000015</v>
      </c>
      <c r="N47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78" s="7">
        <f>dataset!$K478+dataset!$M478</f>
        <v>964560</v>
      </c>
      <c r="P478" s="7">
        <f>Payroll_Data_Analysis[[#This Row],[Annual Salary + KPI Bonus]]/12/29.3*31</f>
        <v>85043.686006825927</v>
      </c>
      <c r="Q478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78" s="7">
        <f>Payroll_Data_Analysis[[#This Row],[Monthly Salary]]*11</f>
        <v>803000</v>
      </c>
      <c r="S478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78" s="7">
        <f>IF(Payroll_Data_Analysis[[#This Row],[Base Salary (Monthly)]]&gt;=200000,69507,IF(Payroll_Data_Analysis[[#This Row],[Base Salary (Monthly)]]&gt;=145000,52684,35103))</f>
        <v>35103</v>
      </c>
      <c r="U478" s="7">
        <f>Payroll_Data_Analysis[[#This Row],[Annual KPI Bonus Reserve]]+Payroll_Data_Analysis[[#This Row],[Vacation Reserve]]+Payroll_Data_Analysis[[#This Row],[11-Month Salary]]</f>
        <v>976603.68600682588</v>
      </c>
      <c r="V478" s="7">
        <f>Payroll_Data_Analysis[[#This Row],[Payroll Taxes (KPI Bonus)]]+Payroll_Data_Analysis[[#This Row],[Payroll Taxes (Vacation)]]+Payroll_Data_Analysis[[#This Row],[Payroll Taxes (Salary)]]</f>
        <v>294934.31317406142</v>
      </c>
      <c r="W478" s="13">
        <f>Payroll_Data_Analysis[[#This Row],[Total Payroll]]+Payroll_Data_Analysis[[#This Row],[Total Payroll Taxes]]</f>
        <v>1271537.9991808874</v>
      </c>
    </row>
    <row r="479" spans="1:23">
      <c r="A479" s="11" t="s">
        <v>667</v>
      </c>
      <c r="B479" s="5" t="s">
        <v>482</v>
      </c>
      <c r="C479" s="5" t="s">
        <v>741</v>
      </c>
      <c r="D479" s="28" t="str">
        <f>VLOOKUP(Payroll_Data_Analysis[[#This Row],[Position]],Position_Map!$A$2:$B$58,2,FALSE)</f>
        <v>Technical</v>
      </c>
      <c r="E479" s="6">
        <v>1</v>
      </c>
      <c r="F479" s="7">
        <v>69800</v>
      </c>
      <c r="G479" s="7">
        <v>50000</v>
      </c>
      <c r="H479" s="7"/>
      <c r="I479" s="7">
        <f>dataset!$F479-dataset!$J479-dataset!$G479-dataset!$H479</f>
        <v>15800</v>
      </c>
      <c r="J479" s="7">
        <f>dataset!$G479*0.08</f>
        <v>4000</v>
      </c>
      <c r="K479" s="7">
        <f>dataset!$F479*12</f>
        <v>837600</v>
      </c>
      <c r="L479" s="12">
        <f>IF(dataset!$G479&gt;=200000,38%,IF(dataset!$G479&lt;=145000,12.3%,))</f>
        <v>0.12300000000000001</v>
      </c>
      <c r="M479" s="7">
        <f>dataset!$G479*L480*12</f>
        <v>73800.000000000015</v>
      </c>
      <c r="N479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479" s="7">
        <f>dataset!$K479+dataset!$M479</f>
        <v>911400</v>
      </c>
      <c r="P479" s="7">
        <f>Payroll_Data_Analysis[[#This Row],[Annual Salary + KPI Bonus]]/12/29.3*31</f>
        <v>80356.655290102382</v>
      </c>
      <c r="Q479" s="7">
        <f>IF(Payroll_Data_Analysis[[#This Row],[Vacation Reserve]]&lt;=2979000,Payroll_Data_Analysis[[#This Row],[Vacation Reserve]]*0.302,2979000*0.302+(Payroll_Data_Analysis[[#This Row],[Vacation Reserve]]-2979000)*0.151)</f>
        <v>24267.709897610919</v>
      </c>
      <c r="R479" s="7">
        <f>Payroll_Data_Analysis[[#This Row],[Monthly Salary]]*11</f>
        <v>767800</v>
      </c>
      <c r="S479" s="7">
        <f>IF(Payroll_Data_Analysis[[#This Row],[11-Month Salary]]&lt;=2979000,Payroll_Data_Analysis[[#This Row],[11-Month Salary]]*0.302,2979000*0.302+(Payroll_Data_Analysis[[#This Row],[11-Month Salary]]-2979000)*0.151)</f>
        <v>231875.6</v>
      </c>
      <c r="T479" s="7">
        <f>IF(Payroll_Data_Analysis[[#This Row],[Base Salary (Monthly)]]&gt;=200000,69507,IF(Payroll_Data_Analysis[[#This Row],[Base Salary (Monthly)]]&gt;=145000,52684,35103))</f>
        <v>35103</v>
      </c>
      <c r="U479" s="7">
        <f>Payroll_Data_Analysis[[#This Row],[Annual KPI Bonus Reserve]]+Payroll_Data_Analysis[[#This Row],[Vacation Reserve]]+Payroll_Data_Analysis[[#This Row],[11-Month Salary]]</f>
        <v>921956.65529010235</v>
      </c>
      <c r="V479" s="7">
        <f>Payroll_Data_Analysis[[#This Row],[Payroll Taxes (KPI Bonus)]]+Payroll_Data_Analysis[[#This Row],[Payroll Taxes (Vacation)]]+Payroll_Data_Analysis[[#This Row],[Payroll Taxes (Salary)]]</f>
        <v>278430.90989761089</v>
      </c>
      <c r="W479" s="13">
        <f>Payroll_Data_Analysis[[#This Row],[Total Payroll]]+Payroll_Data_Analysis[[#This Row],[Total Payroll Taxes]]</f>
        <v>1200387.5651877131</v>
      </c>
    </row>
    <row r="480" spans="1:23">
      <c r="A480" s="11" t="s">
        <v>667</v>
      </c>
      <c r="B480" s="5" t="s">
        <v>483</v>
      </c>
      <c r="C480" s="5" t="s">
        <v>703</v>
      </c>
      <c r="D480" s="28" t="str">
        <f>VLOOKUP(Payroll_Data_Analysis[[#This Row],[Position]],Position_Map!$A$2:$B$58,2,FALSE)</f>
        <v>Management</v>
      </c>
      <c r="E480" s="6">
        <v>1</v>
      </c>
      <c r="F480" s="7">
        <v>184100</v>
      </c>
      <c r="G480" s="7">
        <v>145000</v>
      </c>
      <c r="H480" s="7"/>
      <c r="I480" s="7">
        <f>dataset!$F480-dataset!$J480-dataset!$G480-dataset!$H480</f>
        <v>27500</v>
      </c>
      <c r="J480" s="7">
        <f>dataset!$G480*0.08</f>
        <v>11600</v>
      </c>
      <c r="K480" s="7">
        <f>dataset!$F480*12</f>
        <v>2209200</v>
      </c>
      <c r="L480" s="12">
        <f>IF(dataset!$G480&gt;=200000,38%,IF(dataset!$G480&lt;=145000,12.3%,))</f>
        <v>0.12300000000000001</v>
      </c>
      <c r="M480" s="7">
        <f>dataset!$G480*L481*12</f>
        <v>214020</v>
      </c>
      <c r="N48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480" s="7">
        <f>dataset!$K480+dataset!$M480</f>
        <v>2423220</v>
      </c>
      <c r="P480" s="7">
        <f>Payroll_Data_Analysis[[#This Row],[Annual Salary + KPI Bonus]]/12/29.3*31</f>
        <v>213651.36518771332</v>
      </c>
      <c r="Q480" s="7">
        <f>IF(Payroll_Data_Analysis[[#This Row],[Vacation Reserve]]&lt;=2979000,Payroll_Data_Analysis[[#This Row],[Vacation Reserve]]*0.302,2979000*0.302+(Payroll_Data_Analysis[[#This Row],[Vacation Reserve]]-2979000)*0.151)</f>
        <v>64522.712286689421</v>
      </c>
      <c r="R480" s="7">
        <f>Payroll_Data_Analysis[[#This Row],[Monthly Salary]]*11</f>
        <v>2025100</v>
      </c>
      <c r="S480" s="7">
        <f>IF(Payroll_Data_Analysis[[#This Row],[11-Month Salary]]&lt;=2979000,Payroll_Data_Analysis[[#This Row],[11-Month Salary]]*0.302,2979000*0.302+(Payroll_Data_Analysis[[#This Row],[11-Month Salary]]-2979000)*0.151)</f>
        <v>611580.19999999995</v>
      </c>
      <c r="T480" s="7">
        <f>IF(Payroll_Data_Analysis[[#This Row],[Base Salary (Monthly)]]&gt;=200000,69507,IF(Payroll_Data_Analysis[[#This Row],[Base Salary (Monthly)]]&gt;=145000,52684,35103))</f>
        <v>52684</v>
      </c>
      <c r="U480" s="7">
        <f>Payroll_Data_Analysis[[#This Row],[Annual KPI Bonus Reserve]]+Payroll_Data_Analysis[[#This Row],[Vacation Reserve]]+Payroll_Data_Analysis[[#This Row],[11-Month Salary]]</f>
        <v>2452771.3651877134</v>
      </c>
      <c r="V480" s="7">
        <f>Payroll_Data_Analysis[[#This Row],[Payroll Taxes (KPI Bonus)]]+Payroll_Data_Analysis[[#This Row],[Payroll Taxes (Vacation)]]+Payroll_Data_Analysis[[#This Row],[Payroll Taxes (Salary)]]</f>
        <v>740736.95228668931</v>
      </c>
      <c r="W480" s="13">
        <f>Payroll_Data_Analysis[[#This Row],[Total Payroll]]+Payroll_Data_Analysis[[#This Row],[Total Payroll Taxes]]</f>
        <v>3193508.3174744025</v>
      </c>
    </row>
    <row r="481" spans="1:23">
      <c r="A481" s="11" t="s">
        <v>667</v>
      </c>
      <c r="B481" s="5" t="s">
        <v>484</v>
      </c>
      <c r="C481" s="5" t="s">
        <v>705</v>
      </c>
      <c r="D481" s="28" t="str">
        <f>VLOOKUP(Payroll_Data_Analysis[[#This Row],[Position]],Position_Map!$A$2:$B$58,2,FALSE)</f>
        <v>Professional</v>
      </c>
      <c r="E481" s="6">
        <v>1</v>
      </c>
      <c r="F481" s="7">
        <v>89000</v>
      </c>
      <c r="G481" s="7">
        <v>60000</v>
      </c>
      <c r="H481" s="7"/>
      <c r="I481" s="7">
        <f>dataset!$F481-dataset!$J481-dataset!$G481-dataset!$H481</f>
        <v>24200</v>
      </c>
      <c r="J481" s="7">
        <f>dataset!$G481*0.08</f>
        <v>4800</v>
      </c>
      <c r="K481" s="7">
        <f>dataset!$F481*12</f>
        <v>1068000</v>
      </c>
      <c r="L481" s="12">
        <f>IF(dataset!$G481&gt;=200000,38%,IF(dataset!$G481&lt;=145000,12.3%,))</f>
        <v>0.12300000000000001</v>
      </c>
      <c r="M481" s="7">
        <f>dataset!$G481*L482*12</f>
        <v>88560.000000000015</v>
      </c>
      <c r="N48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1" s="7">
        <f>dataset!$K481+dataset!$M481</f>
        <v>1156560</v>
      </c>
      <c r="P481" s="7">
        <f>Payroll_Data_Analysis[[#This Row],[Annual Salary + KPI Bonus]]/12/29.3*31</f>
        <v>101972.01365187713</v>
      </c>
      <c r="Q481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81" s="7">
        <f>Payroll_Data_Analysis[[#This Row],[Monthly Salary]]*11</f>
        <v>979000</v>
      </c>
      <c r="S481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81" s="7">
        <f>IF(Payroll_Data_Analysis[[#This Row],[Base Salary (Monthly)]]&gt;=200000,69507,IF(Payroll_Data_Analysis[[#This Row],[Base Salary (Monthly)]]&gt;=145000,52684,35103))</f>
        <v>35103</v>
      </c>
      <c r="U481" s="7">
        <f>Payroll_Data_Analysis[[#This Row],[Annual KPI Bonus Reserve]]+Payroll_Data_Analysis[[#This Row],[Vacation Reserve]]+Payroll_Data_Analysis[[#This Row],[11-Month Salary]]</f>
        <v>1169532.0136518772</v>
      </c>
      <c r="V481" s="7">
        <f>Payroll_Data_Analysis[[#This Row],[Payroll Taxes (KPI Bonus)]]+Payroll_Data_Analysis[[#This Row],[Payroll Taxes (Vacation)]]+Payroll_Data_Analysis[[#This Row],[Payroll Taxes (Salary)]]</f>
        <v>353198.66812286689</v>
      </c>
      <c r="W481" s="13">
        <f>Payroll_Data_Analysis[[#This Row],[Total Payroll]]+Payroll_Data_Analysis[[#This Row],[Total Payroll Taxes]]</f>
        <v>1522730.6817747441</v>
      </c>
    </row>
    <row r="482" spans="1:23">
      <c r="A482" s="11" t="s">
        <v>667</v>
      </c>
      <c r="B482" s="5" t="s">
        <v>485</v>
      </c>
      <c r="C482" s="5" t="s">
        <v>705</v>
      </c>
      <c r="D482" s="28" t="str">
        <f>VLOOKUP(Payroll_Data_Analysis[[#This Row],[Position]],Position_Map!$A$2:$B$58,2,FALSE)</f>
        <v>Professional</v>
      </c>
      <c r="E482" s="6">
        <v>1</v>
      </c>
      <c r="F482" s="7">
        <v>89000</v>
      </c>
      <c r="G482" s="7">
        <v>60000</v>
      </c>
      <c r="H482" s="7"/>
      <c r="I482" s="7">
        <f>dataset!$F482-dataset!$J482-dataset!$G482-dataset!$H482</f>
        <v>24200</v>
      </c>
      <c r="J482" s="7">
        <f>dataset!$G482*0.08</f>
        <v>4800</v>
      </c>
      <c r="K482" s="7">
        <f>dataset!$F482*12</f>
        <v>1068000</v>
      </c>
      <c r="L482" s="12">
        <f>IF(dataset!$G482&gt;=200000,38%,IF(dataset!$G482&lt;=145000,12.3%,))</f>
        <v>0.12300000000000001</v>
      </c>
      <c r="M482" s="7">
        <f>dataset!$G482*L483*12</f>
        <v>88560.000000000015</v>
      </c>
      <c r="N48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2" s="7">
        <f>dataset!$K482+dataset!$M482</f>
        <v>1156560</v>
      </c>
      <c r="P482" s="7">
        <f>Payroll_Data_Analysis[[#This Row],[Annual Salary + KPI Bonus]]/12/29.3*31</f>
        <v>101972.01365187713</v>
      </c>
      <c r="Q482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82" s="7">
        <f>Payroll_Data_Analysis[[#This Row],[Monthly Salary]]*11</f>
        <v>979000</v>
      </c>
      <c r="S482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82" s="7">
        <f>IF(Payroll_Data_Analysis[[#This Row],[Base Salary (Monthly)]]&gt;=200000,69507,IF(Payroll_Data_Analysis[[#This Row],[Base Salary (Monthly)]]&gt;=145000,52684,35103))</f>
        <v>35103</v>
      </c>
      <c r="U482" s="7">
        <f>Payroll_Data_Analysis[[#This Row],[Annual KPI Bonus Reserve]]+Payroll_Data_Analysis[[#This Row],[Vacation Reserve]]+Payroll_Data_Analysis[[#This Row],[11-Month Salary]]</f>
        <v>1169532.0136518772</v>
      </c>
      <c r="V482" s="7">
        <f>Payroll_Data_Analysis[[#This Row],[Payroll Taxes (KPI Bonus)]]+Payroll_Data_Analysis[[#This Row],[Payroll Taxes (Vacation)]]+Payroll_Data_Analysis[[#This Row],[Payroll Taxes (Salary)]]</f>
        <v>353198.66812286689</v>
      </c>
      <c r="W482" s="13">
        <f>Payroll_Data_Analysis[[#This Row],[Total Payroll]]+Payroll_Data_Analysis[[#This Row],[Total Payroll Taxes]]</f>
        <v>1522730.6817747441</v>
      </c>
    </row>
    <row r="483" spans="1:23">
      <c r="A483" s="11" t="s">
        <v>667</v>
      </c>
      <c r="B483" s="5" t="s">
        <v>486</v>
      </c>
      <c r="C483" s="5" t="s">
        <v>705</v>
      </c>
      <c r="D483" s="28" t="str">
        <f>VLOOKUP(Payroll_Data_Analysis[[#This Row],[Position]],Position_Map!$A$2:$B$58,2,FALSE)</f>
        <v>Professional</v>
      </c>
      <c r="E483" s="6">
        <v>1</v>
      </c>
      <c r="F483" s="7">
        <v>89000</v>
      </c>
      <c r="G483" s="7">
        <v>60000</v>
      </c>
      <c r="H483" s="7"/>
      <c r="I483" s="7">
        <f>dataset!$F483-dataset!$J483-dataset!$G483-dataset!$H483</f>
        <v>24200</v>
      </c>
      <c r="J483" s="7">
        <f>dataset!$G483*0.08</f>
        <v>4800</v>
      </c>
      <c r="K483" s="7">
        <f>dataset!$F483*12</f>
        <v>1068000</v>
      </c>
      <c r="L483" s="12">
        <f>IF(dataset!$G483&gt;=200000,38%,IF(dataset!$G483&lt;=145000,12.3%,))</f>
        <v>0.12300000000000001</v>
      </c>
      <c r="M483" s="7">
        <f>dataset!$G483*L484*12</f>
        <v>88560.000000000015</v>
      </c>
      <c r="N48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3" s="7">
        <f>dataset!$K483+dataset!$M483</f>
        <v>1156560</v>
      </c>
      <c r="P483" s="7">
        <f>Payroll_Data_Analysis[[#This Row],[Annual Salary + KPI Bonus]]/12/29.3*31</f>
        <v>101972.01365187713</v>
      </c>
      <c r="Q483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83" s="7">
        <f>Payroll_Data_Analysis[[#This Row],[Monthly Salary]]*11</f>
        <v>979000</v>
      </c>
      <c r="S483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83" s="7">
        <f>IF(Payroll_Data_Analysis[[#This Row],[Base Salary (Monthly)]]&gt;=200000,69507,IF(Payroll_Data_Analysis[[#This Row],[Base Salary (Monthly)]]&gt;=145000,52684,35103))</f>
        <v>35103</v>
      </c>
      <c r="U483" s="7">
        <f>Payroll_Data_Analysis[[#This Row],[Annual KPI Bonus Reserve]]+Payroll_Data_Analysis[[#This Row],[Vacation Reserve]]+Payroll_Data_Analysis[[#This Row],[11-Month Salary]]</f>
        <v>1169532.0136518772</v>
      </c>
      <c r="V483" s="7">
        <f>Payroll_Data_Analysis[[#This Row],[Payroll Taxes (KPI Bonus)]]+Payroll_Data_Analysis[[#This Row],[Payroll Taxes (Vacation)]]+Payroll_Data_Analysis[[#This Row],[Payroll Taxes (Salary)]]</f>
        <v>353198.66812286689</v>
      </c>
      <c r="W483" s="13">
        <f>Payroll_Data_Analysis[[#This Row],[Total Payroll]]+Payroll_Data_Analysis[[#This Row],[Total Payroll Taxes]]</f>
        <v>1522730.6817747441</v>
      </c>
    </row>
    <row r="484" spans="1:23">
      <c r="A484" s="11" t="s">
        <v>667</v>
      </c>
      <c r="B484" s="5" t="s">
        <v>487</v>
      </c>
      <c r="C484" s="5" t="s">
        <v>705</v>
      </c>
      <c r="D484" s="28" t="str">
        <f>VLOOKUP(Payroll_Data_Analysis[[#This Row],[Position]],Position_Map!$A$2:$B$58,2,FALSE)</f>
        <v>Professional</v>
      </c>
      <c r="E484" s="6">
        <v>1</v>
      </c>
      <c r="F484" s="7">
        <v>89000</v>
      </c>
      <c r="G484" s="7">
        <v>60000</v>
      </c>
      <c r="H484" s="7"/>
      <c r="I484" s="7">
        <f>dataset!$F484-dataset!$J484-dataset!$G484-dataset!$H484</f>
        <v>24200</v>
      </c>
      <c r="J484" s="7">
        <f>dataset!$G484*0.08</f>
        <v>4800</v>
      </c>
      <c r="K484" s="7">
        <f>dataset!$F484*12</f>
        <v>1068000</v>
      </c>
      <c r="L484" s="12">
        <f>IF(dataset!$G484&gt;=200000,38%,IF(dataset!$G484&lt;=145000,12.3%,))</f>
        <v>0.12300000000000001</v>
      </c>
      <c r="M484" s="7">
        <f>dataset!$G484*L485*12</f>
        <v>88560.000000000015</v>
      </c>
      <c r="N48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4" s="7">
        <f>dataset!$K484+dataset!$M484</f>
        <v>1156560</v>
      </c>
      <c r="P484" s="7">
        <f>Payroll_Data_Analysis[[#This Row],[Annual Salary + KPI Bonus]]/12/29.3*31</f>
        <v>101972.01365187713</v>
      </c>
      <c r="Q484" s="7">
        <f>IF(Payroll_Data_Analysis[[#This Row],[Vacation Reserve]]&lt;=2979000,Payroll_Data_Analysis[[#This Row],[Vacation Reserve]]*0.302,2979000*0.302+(Payroll_Data_Analysis[[#This Row],[Vacation Reserve]]-2979000)*0.151)</f>
        <v>30795.548122866894</v>
      </c>
      <c r="R484" s="7">
        <f>Payroll_Data_Analysis[[#This Row],[Monthly Salary]]*11</f>
        <v>979000</v>
      </c>
      <c r="S484" s="7">
        <f>IF(Payroll_Data_Analysis[[#This Row],[11-Month Salary]]&lt;=2979000,Payroll_Data_Analysis[[#This Row],[11-Month Salary]]*0.302,2979000*0.302+(Payroll_Data_Analysis[[#This Row],[11-Month Salary]]-2979000)*0.151)</f>
        <v>295658</v>
      </c>
      <c r="T484" s="7">
        <f>IF(Payroll_Data_Analysis[[#This Row],[Base Salary (Monthly)]]&gt;=200000,69507,IF(Payroll_Data_Analysis[[#This Row],[Base Salary (Monthly)]]&gt;=145000,52684,35103))</f>
        <v>35103</v>
      </c>
      <c r="U484" s="7">
        <f>Payroll_Data_Analysis[[#This Row],[Annual KPI Bonus Reserve]]+Payroll_Data_Analysis[[#This Row],[Vacation Reserve]]+Payroll_Data_Analysis[[#This Row],[11-Month Salary]]</f>
        <v>1169532.0136518772</v>
      </c>
      <c r="V484" s="7">
        <f>Payroll_Data_Analysis[[#This Row],[Payroll Taxes (KPI Bonus)]]+Payroll_Data_Analysis[[#This Row],[Payroll Taxes (Vacation)]]+Payroll_Data_Analysis[[#This Row],[Payroll Taxes (Salary)]]</f>
        <v>353198.66812286689</v>
      </c>
      <c r="W484" s="13">
        <f>Payroll_Data_Analysis[[#This Row],[Total Payroll]]+Payroll_Data_Analysis[[#This Row],[Total Payroll Taxes]]</f>
        <v>1522730.6817747441</v>
      </c>
    </row>
    <row r="485" spans="1:23">
      <c r="A485" s="11" t="s">
        <v>667</v>
      </c>
      <c r="B485" s="5" t="s">
        <v>488</v>
      </c>
      <c r="C485" s="5" t="s">
        <v>705</v>
      </c>
      <c r="D485" s="28" t="str">
        <f>VLOOKUP(Payroll_Data_Analysis[[#This Row],[Position]],Position_Map!$A$2:$B$58,2,FALSE)</f>
        <v>Professional</v>
      </c>
      <c r="E485" s="6">
        <v>1</v>
      </c>
      <c r="F485" s="7">
        <v>102800</v>
      </c>
      <c r="G485" s="7">
        <v>80000</v>
      </c>
      <c r="H485" s="7"/>
      <c r="I485" s="7">
        <f>dataset!$F485-dataset!$J485-dataset!$G485-dataset!$H485</f>
        <v>16400</v>
      </c>
      <c r="J485" s="7">
        <f>dataset!$G485*0.08</f>
        <v>6400</v>
      </c>
      <c r="K485" s="7">
        <f>dataset!$F485*12</f>
        <v>1233600</v>
      </c>
      <c r="L485" s="12">
        <f>IF(dataset!$G485&gt;=200000,38%,IF(dataset!$G485&lt;=145000,12.3%,))</f>
        <v>0.12300000000000001</v>
      </c>
      <c r="M485" s="7">
        <f>dataset!$G485*L486*12</f>
        <v>118080.00000000003</v>
      </c>
      <c r="N48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85" s="7">
        <f>dataset!$K485+dataset!$M485</f>
        <v>1351680</v>
      </c>
      <c r="P485" s="7">
        <f>Payroll_Data_Analysis[[#This Row],[Annual Salary + KPI Bonus]]/12/29.3*31</f>
        <v>119175.42662116041</v>
      </c>
      <c r="Q485" s="7">
        <f>IF(Payroll_Data_Analysis[[#This Row],[Vacation Reserve]]&lt;=2979000,Payroll_Data_Analysis[[#This Row],[Vacation Reserve]]*0.302,2979000*0.302+(Payroll_Data_Analysis[[#This Row],[Vacation Reserve]]-2979000)*0.151)</f>
        <v>35990.97883959044</v>
      </c>
      <c r="R485" s="7">
        <f>Payroll_Data_Analysis[[#This Row],[Monthly Salary]]*11</f>
        <v>1130800</v>
      </c>
      <c r="S485" s="7">
        <f>IF(Payroll_Data_Analysis[[#This Row],[11-Month Salary]]&lt;=2979000,Payroll_Data_Analysis[[#This Row],[11-Month Salary]]*0.302,2979000*0.302+(Payroll_Data_Analysis[[#This Row],[11-Month Salary]]-2979000)*0.151)</f>
        <v>341501.6</v>
      </c>
      <c r="T485" s="7">
        <f>IF(Payroll_Data_Analysis[[#This Row],[Base Salary (Monthly)]]&gt;=200000,69507,IF(Payroll_Data_Analysis[[#This Row],[Base Salary (Monthly)]]&gt;=145000,52684,35103))</f>
        <v>35103</v>
      </c>
      <c r="U485" s="7">
        <f>Payroll_Data_Analysis[[#This Row],[Annual KPI Bonus Reserve]]+Payroll_Data_Analysis[[#This Row],[Vacation Reserve]]+Payroll_Data_Analysis[[#This Row],[11-Month Salary]]</f>
        <v>1368055.4266211605</v>
      </c>
      <c r="V485" s="7">
        <f>Payroll_Data_Analysis[[#This Row],[Payroll Taxes (KPI Bonus)]]+Payroll_Data_Analysis[[#This Row],[Payroll Taxes (Vacation)]]+Payroll_Data_Analysis[[#This Row],[Payroll Taxes (Salary)]]</f>
        <v>413152.73883959046</v>
      </c>
      <c r="W485" s="13">
        <f>Payroll_Data_Analysis[[#This Row],[Total Payroll]]+Payroll_Data_Analysis[[#This Row],[Total Payroll Taxes]]</f>
        <v>1781208.1654607509</v>
      </c>
    </row>
    <row r="486" spans="1:23">
      <c r="A486" s="11" t="s">
        <v>667</v>
      </c>
      <c r="B486" s="5" t="s">
        <v>489</v>
      </c>
      <c r="C486" s="5" t="s">
        <v>705</v>
      </c>
      <c r="D486" s="28" t="str">
        <f>VLOOKUP(Payroll_Data_Analysis[[#This Row],[Position]],Position_Map!$A$2:$B$58,2,FALSE)</f>
        <v>Professional</v>
      </c>
      <c r="E486" s="6">
        <v>1</v>
      </c>
      <c r="F486" s="7">
        <v>94800</v>
      </c>
      <c r="G486" s="7">
        <v>60000</v>
      </c>
      <c r="H486" s="7"/>
      <c r="I486" s="7">
        <f>dataset!$F486-dataset!$J486-dataset!$G486-dataset!$H486</f>
        <v>30000</v>
      </c>
      <c r="J486" s="7">
        <f>dataset!$G486*0.08</f>
        <v>4800</v>
      </c>
      <c r="K486" s="7">
        <f>dataset!$F486*12</f>
        <v>1137600</v>
      </c>
      <c r="L486" s="12">
        <f>IF(dataset!$G486&gt;=200000,38%,IF(dataset!$G486&lt;=145000,12.3%,))</f>
        <v>0.12300000000000001</v>
      </c>
      <c r="M486" s="7">
        <f>dataset!$G486*L487*12</f>
        <v>88560.000000000015</v>
      </c>
      <c r="N48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6" s="7">
        <f>dataset!$K486+dataset!$M486</f>
        <v>1226160</v>
      </c>
      <c r="P486" s="7">
        <f>Payroll_Data_Analysis[[#This Row],[Annual Salary + KPI Bonus]]/12/29.3*31</f>
        <v>108108.53242320818</v>
      </c>
      <c r="Q486" s="7">
        <f>IF(Payroll_Data_Analysis[[#This Row],[Vacation Reserve]]&lt;=2979000,Payroll_Data_Analysis[[#This Row],[Vacation Reserve]]*0.302,2979000*0.302+(Payroll_Data_Analysis[[#This Row],[Vacation Reserve]]-2979000)*0.151)</f>
        <v>32648.776791808868</v>
      </c>
      <c r="R486" s="7">
        <f>Payroll_Data_Analysis[[#This Row],[Monthly Salary]]*11</f>
        <v>1042800</v>
      </c>
      <c r="S486" s="7">
        <f>IF(Payroll_Data_Analysis[[#This Row],[11-Month Salary]]&lt;=2979000,Payroll_Data_Analysis[[#This Row],[11-Month Salary]]*0.302,2979000*0.302+(Payroll_Data_Analysis[[#This Row],[11-Month Salary]]-2979000)*0.151)</f>
        <v>314925.59999999998</v>
      </c>
      <c r="T486" s="7">
        <f>IF(Payroll_Data_Analysis[[#This Row],[Base Salary (Monthly)]]&gt;=200000,69507,IF(Payroll_Data_Analysis[[#This Row],[Base Salary (Monthly)]]&gt;=145000,52684,35103))</f>
        <v>35103</v>
      </c>
      <c r="U486" s="7">
        <f>Payroll_Data_Analysis[[#This Row],[Annual KPI Bonus Reserve]]+Payroll_Data_Analysis[[#This Row],[Vacation Reserve]]+Payroll_Data_Analysis[[#This Row],[11-Month Salary]]</f>
        <v>1239468.5324232082</v>
      </c>
      <c r="V486" s="7">
        <f>Payroll_Data_Analysis[[#This Row],[Payroll Taxes (KPI Bonus)]]+Payroll_Data_Analysis[[#This Row],[Payroll Taxes (Vacation)]]+Payroll_Data_Analysis[[#This Row],[Payroll Taxes (Salary)]]</f>
        <v>374319.49679180887</v>
      </c>
      <c r="W486" s="13">
        <f>Payroll_Data_Analysis[[#This Row],[Total Payroll]]+Payroll_Data_Analysis[[#This Row],[Total Payroll Taxes]]</f>
        <v>1613788.0292150171</v>
      </c>
    </row>
    <row r="487" spans="1:23">
      <c r="A487" s="11" t="s">
        <v>667</v>
      </c>
      <c r="B487" s="5" t="s">
        <v>490</v>
      </c>
      <c r="C487" s="5" t="s">
        <v>705</v>
      </c>
      <c r="D487" s="28" t="str">
        <f>VLOOKUP(Payroll_Data_Analysis[[#This Row],[Position]],Position_Map!$A$2:$B$58,2,FALSE)</f>
        <v>Professional</v>
      </c>
      <c r="E487" s="6">
        <v>1</v>
      </c>
      <c r="F487" s="7">
        <v>73000</v>
      </c>
      <c r="G487" s="7">
        <v>60000</v>
      </c>
      <c r="H487" s="7"/>
      <c r="I487" s="7">
        <f>dataset!$F487-dataset!$J487-dataset!$G487-dataset!$H487</f>
        <v>8200</v>
      </c>
      <c r="J487" s="7">
        <f>dataset!$G487*0.08</f>
        <v>4800</v>
      </c>
      <c r="K487" s="7">
        <f>dataset!$F487*12</f>
        <v>876000</v>
      </c>
      <c r="L487" s="12">
        <f>IF(dataset!$G487&gt;=200000,38%,IF(dataset!$G487&lt;=145000,12.3%,))</f>
        <v>0.12300000000000001</v>
      </c>
      <c r="M487" s="7">
        <f>dataset!$G487*L488*12</f>
        <v>88560.000000000015</v>
      </c>
      <c r="N48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7" s="7">
        <f>dataset!$K487+dataset!$M487</f>
        <v>964560</v>
      </c>
      <c r="P487" s="7">
        <f>Payroll_Data_Analysis[[#This Row],[Annual Salary + KPI Bonus]]/12/29.3*31</f>
        <v>85043.686006825927</v>
      </c>
      <c r="Q487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87" s="7">
        <f>Payroll_Data_Analysis[[#This Row],[Monthly Salary]]*11</f>
        <v>803000</v>
      </c>
      <c r="S487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87" s="7">
        <f>IF(Payroll_Data_Analysis[[#This Row],[Base Salary (Monthly)]]&gt;=200000,69507,IF(Payroll_Data_Analysis[[#This Row],[Base Salary (Monthly)]]&gt;=145000,52684,35103))</f>
        <v>35103</v>
      </c>
      <c r="U487" s="7">
        <f>Payroll_Data_Analysis[[#This Row],[Annual KPI Bonus Reserve]]+Payroll_Data_Analysis[[#This Row],[Vacation Reserve]]+Payroll_Data_Analysis[[#This Row],[11-Month Salary]]</f>
        <v>976603.68600682588</v>
      </c>
      <c r="V487" s="7">
        <f>Payroll_Data_Analysis[[#This Row],[Payroll Taxes (KPI Bonus)]]+Payroll_Data_Analysis[[#This Row],[Payroll Taxes (Vacation)]]+Payroll_Data_Analysis[[#This Row],[Payroll Taxes (Salary)]]</f>
        <v>294934.31317406142</v>
      </c>
      <c r="W487" s="13">
        <f>Payroll_Data_Analysis[[#This Row],[Total Payroll]]+Payroll_Data_Analysis[[#This Row],[Total Payroll Taxes]]</f>
        <v>1271537.9991808874</v>
      </c>
    </row>
    <row r="488" spans="1:23">
      <c r="A488" s="11" t="s">
        <v>667</v>
      </c>
      <c r="B488" s="5" t="s">
        <v>491</v>
      </c>
      <c r="C488" s="5" t="s">
        <v>705</v>
      </c>
      <c r="D488" s="28" t="str">
        <f>VLOOKUP(Payroll_Data_Analysis[[#This Row],[Position]],Position_Map!$A$2:$B$58,2,FALSE)</f>
        <v>Professional</v>
      </c>
      <c r="E488" s="6">
        <v>1</v>
      </c>
      <c r="F488" s="7">
        <v>73000</v>
      </c>
      <c r="G488" s="7">
        <v>60000</v>
      </c>
      <c r="H488" s="7"/>
      <c r="I488" s="7">
        <f>dataset!$F488-dataset!$J488-dataset!$G488-dataset!$H488</f>
        <v>8200</v>
      </c>
      <c r="J488" s="7">
        <f>dataset!$G488*0.08</f>
        <v>4800</v>
      </c>
      <c r="K488" s="7">
        <f>dataset!$F488*12</f>
        <v>876000</v>
      </c>
      <c r="L488" s="12">
        <f>IF(dataset!$G488&gt;=200000,38%,IF(dataset!$G488&lt;=145000,12.3%,))</f>
        <v>0.12300000000000001</v>
      </c>
      <c r="M488" s="7">
        <f>dataset!$G488*L489*12</f>
        <v>88560.000000000015</v>
      </c>
      <c r="N48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8" s="7">
        <f>dataset!$K488+dataset!$M488</f>
        <v>964560</v>
      </c>
      <c r="P488" s="7">
        <f>Payroll_Data_Analysis[[#This Row],[Annual Salary + KPI Bonus]]/12/29.3*31</f>
        <v>85043.686006825927</v>
      </c>
      <c r="Q488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88" s="7">
        <f>Payroll_Data_Analysis[[#This Row],[Monthly Salary]]*11</f>
        <v>803000</v>
      </c>
      <c r="S488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88" s="7">
        <f>IF(Payroll_Data_Analysis[[#This Row],[Base Salary (Monthly)]]&gt;=200000,69507,IF(Payroll_Data_Analysis[[#This Row],[Base Salary (Monthly)]]&gt;=145000,52684,35103))</f>
        <v>35103</v>
      </c>
      <c r="U488" s="7">
        <f>Payroll_Data_Analysis[[#This Row],[Annual KPI Bonus Reserve]]+Payroll_Data_Analysis[[#This Row],[Vacation Reserve]]+Payroll_Data_Analysis[[#This Row],[11-Month Salary]]</f>
        <v>976603.68600682588</v>
      </c>
      <c r="V488" s="7">
        <f>Payroll_Data_Analysis[[#This Row],[Payroll Taxes (KPI Bonus)]]+Payroll_Data_Analysis[[#This Row],[Payroll Taxes (Vacation)]]+Payroll_Data_Analysis[[#This Row],[Payroll Taxes (Salary)]]</f>
        <v>294934.31317406142</v>
      </c>
      <c r="W488" s="13">
        <f>Payroll_Data_Analysis[[#This Row],[Total Payroll]]+Payroll_Data_Analysis[[#This Row],[Total Payroll Taxes]]</f>
        <v>1271537.9991808874</v>
      </c>
    </row>
    <row r="489" spans="1:23">
      <c r="A489" s="11" t="s">
        <v>667</v>
      </c>
      <c r="B489" s="5" t="s">
        <v>492</v>
      </c>
      <c r="C489" s="5" t="s">
        <v>705</v>
      </c>
      <c r="D489" s="28" t="str">
        <f>VLOOKUP(Payroll_Data_Analysis[[#This Row],[Position]],Position_Map!$A$2:$B$58,2,FALSE)</f>
        <v>Professional</v>
      </c>
      <c r="E489" s="6">
        <v>1</v>
      </c>
      <c r="F489" s="7">
        <v>73000</v>
      </c>
      <c r="G489" s="7">
        <v>60000</v>
      </c>
      <c r="H489" s="7"/>
      <c r="I489" s="7">
        <f>dataset!$F489-dataset!$J489-dataset!$G489-dataset!$H489</f>
        <v>8200</v>
      </c>
      <c r="J489" s="7">
        <f>dataset!$G489*0.08</f>
        <v>4800</v>
      </c>
      <c r="K489" s="7">
        <f>dataset!$F489*12</f>
        <v>876000</v>
      </c>
      <c r="L489" s="12">
        <f>IF(dataset!$G489&gt;=200000,38%,IF(dataset!$G489&lt;=145000,12.3%,))</f>
        <v>0.12300000000000001</v>
      </c>
      <c r="M489" s="7">
        <f>dataset!$G489*L490*12</f>
        <v>88560.000000000015</v>
      </c>
      <c r="N48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89" s="7">
        <f>dataset!$K489+dataset!$M489</f>
        <v>964560</v>
      </c>
      <c r="P489" s="7">
        <f>Payroll_Data_Analysis[[#This Row],[Annual Salary + KPI Bonus]]/12/29.3*31</f>
        <v>85043.686006825927</v>
      </c>
      <c r="Q489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89" s="7">
        <f>Payroll_Data_Analysis[[#This Row],[Monthly Salary]]*11</f>
        <v>803000</v>
      </c>
      <c r="S489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89" s="7">
        <f>IF(Payroll_Data_Analysis[[#This Row],[Base Salary (Monthly)]]&gt;=200000,69507,IF(Payroll_Data_Analysis[[#This Row],[Base Salary (Monthly)]]&gt;=145000,52684,35103))</f>
        <v>35103</v>
      </c>
      <c r="U489" s="7">
        <f>Payroll_Data_Analysis[[#This Row],[Annual KPI Bonus Reserve]]+Payroll_Data_Analysis[[#This Row],[Vacation Reserve]]+Payroll_Data_Analysis[[#This Row],[11-Month Salary]]</f>
        <v>976603.68600682588</v>
      </c>
      <c r="V489" s="7">
        <f>Payroll_Data_Analysis[[#This Row],[Payroll Taxes (KPI Bonus)]]+Payroll_Data_Analysis[[#This Row],[Payroll Taxes (Vacation)]]+Payroll_Data_Analysis[[#This Row],[Payroll Taxes (Salary)]]</f>
        <v>294934.31317406142</v>
      </c>
      <c r="W489" s="13">
        <f>Payroll_Data_Analysis[[#This Row],[Total Payroll]]+Payroll_Data_Analysis[[#This Row],[Total Payroll Taxes]]</f>
        <v>1271537.9991808874</v>
      </c>
    </row>
    <row r="490" spans="1:23">
      <c r="A490" s="11" t="s">
        <v>667</v>
      </c>
      <c r="B490" s="5" t="s">
        <v>493</v>
      </c>
      <c r="C490" s="5" t="s">
        <v>705</v>
      </c>
      <c r="D490" s="28" t="str">
        <f>VLOOKUP(Payroll_Data_Analysis[[#This Row],[Position]],Position_Map!$A$2:$B$58,2,FALSE)</f>
        <v>Professional</v>
      </c>
      <c r="E490" s="6">
        <v>1</v>
      </c>
      <c r="F490" s="7">
        <v>73000</v>
      </c>
      <c r="G490" s="7">
        <v>60000</v>
      </c>
      <c r="H490" s="7"/>
      <c r="I490" s="7">
        <f>dataset!$F490-dataset!$J490-dataset!$G490-dataset!$H490</f>
        <v>8200</v>
      </c>
      <c r="J490" s="7">
        <f>dataset!$G490*0.08</f>
        <v>4800</v>
      </c>
      <c r="K490" s="7">
        <f>dataset!$F490*12</f>
        <v>876000</v>
      </c>
      <c r="L490" s="12">
        <f>IF(dataset!$G490&gt;=200000,38%,IF(dataset!$G490&lt;=145000,12.3%,))</f>
        <v>0.12300000000000001</v>
      </c>
      <c r="M490" s="7">
        <f>dataset!$G490*L491*12</f>
        <v>88560.000000000015</v>
      </c>
      <c r="N49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490" s="7">
        <f>dataset!$K490+dataset!$M490</f>
        <v>964560</v>
      </c>
      <c r="P490" s="7">
        <f>Payroll_Data_Analysis[[#This Row],[Annual Salary + KPI Bonus]]/12/29.3*31</f>
        <v>85043.686006825927</v>
      </c>
      <c r="Q490" s="7">
        <f>IF(Payroll_Data_Analysis[[#This Row],[Vacation Reserve]]&lt;=2979000,Payroll_Data_Analysis[[#This Row],[Vacation Reserve]]*0.302,2979000*0.302+(Payroll_Data_Analysis[[#This Row],[Vacation Reserve]]-2979000)*0.151)</f>
        <v>25683.193174061427</v>
      </c>
      <c r="R490" s="7">
        <f>Payroll_Data_Analysis[[#This Row],[Monthly Salary]]*11</f>
        <v>803000</v>
      </c>
      <c r="S490" s="7">
        <f>IF(Payroll_Data_Analysis[[#This Row],[11-Month Salary]]&lt;=2979000,Payroll_Data_Analysis[[#This Row],[11-Month Salary]]*0.302,2979000*0.302+(Payroll_Data_Analysis[[#This Row],[11-Month Salary]]-2979000)*0.151)</f>
        <v>242506</v>
      </c>
      <c r="T490" s="7">
        <f>IF(Payroll_Data_Analysis[[#This Row],[Base Salary (Monthly)]]&gt;=200000,69507,IF(Payroll_Data_Analysis[[#This Row],[Base Salary (Monthly)]]&gt;=145000,52684,35103))</f>
        <v>35103</v>
      </c>
      <c r="U490" s="7">
        <f>Payroll_Data_Analysis[[#This Row],[Annual KPI Bonus Reserve]]+Payroll_Data_Analysis[[#This Row],[Vacation Reserve]]+Payroll_Data_Analysis[[#This Row],[11-Month Salary]]</f>
        <v>976603.68600682588</v>
      </c>
      <c r="V490" s="7">
        <f>Payroll_Data_Analysis[[#This Row],[Payroll Taxes (KPI Bonus)]]+Payroll_Data_Analysis[[#This Row],[Payroll Taxes (Vacation)]]+Payroll_Data_Analysis[[#This Row],[Payroll Taxes (Salary)]]</f>
        <v>294934.31317406142</v>
      </c>
      <c r="W490" s="13">
        <f>Payroll_Data_Analysis[[#This Row],[Total Payroll]]+Payroll_Data_Analysis[[#This Row],[Total Payroll Taxes]]</f>
        <v>1271537.9991808874</v>
      </c>
    </row>
    <row r="491" spans="1:23">
      <c r="A491" s="11" t="s">
        <v>667</v>
      </c>
      <c r="B491" s="5" t="s">
        <v>494</v>
      </c>
      <c r="C491" s="5" t="s">
        <v>709</v>
      </c>
      <c r="D491" s="28" t="str">
        <f>VLOOKUP(Payroll_Data_Analysis[[#This Row],[Position]],Position_Map!$A$2:$B$58,2,FALSE)</f>
        <v>Engineering</v>
      </c>
      <c r="E491" s="6">
        <v>1</v>
      </c>
      <c r="F491" s="7">
        <v>121400</v>
      </c>
      <c r="G491" s="7">
        <v>80000</v>
      </c>
      <c r="H491" s="7"/>
      <c r="I491" s="7">
        <f>dataset!$F491-dataset!$J491-dataset!$G491-dataset!$H491</f>
        <v>35000</v>
      </c>
      <c r="J491" s="7">
        <f>dataset!$G491*0.08</f>
        <v>6400</v>
      </c>
      <c r="K491" s="7">
        <f>dataset!$F491*12</f>
        <v>1456800</v>
      </c>
      <c r="L491" s="12">
        <f>IF(dataset!$G491&gt;=200000,38%,IF(dataset!$G491&lt;=145000,12.3%,))</f>
        <v>0.12300000000000001</v>
      </c>
      <c r="M491" s="7">
        <f>dataset!$G491*L492*12</f>
        <v>118080.00000000003</v>
      </c>
      <c r="N491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1" s="7">
        <f>dataset!$K491+dataset!$M491</f>
        <v>1574880</v>
      </c>
      <c r="P491" s="7">
        <f>Payroll_Data_Analysis[[#This Row],[Annual Salary + KPI Bonus]]/12/29.3*31</f>
        <v>138854.60750853244</v>
      </c>
      <c r="Q491" s="7">
        <f>IF(Payroll_Data_Analysis[[#This Row],[Vacation Reserve]]&lt;=2979000,Payroll_Data_Analysis[[#This Row],[Vacation Reserve]]*0.302,2979000*0.302+(Payroll_Data_Analysis[[#This Row],[Vacation Reserve]]-2979000)*0.151)</f>
        <v>41934.091467576793</v>
      </c>
      <c r="R491" s="7">
        <f>Payroll_Data_Analysis[[#This Row],[Monthly Salary]]*11</f>
        <v>1335400</v>
      </c>
      <c r="S491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91" s="7">
        <f>IF(Payroll_Data_Analysis[[#This Row],[Base Salary (Monthly)]]&gt;=200000,69507,IF(Payroll_Data_Analysis[[#This Row],[Base Salary (Monthly)]]&gt;=145000,52684,35103))</f>
        <v>35103</v>
      </c>
      <c r="U491" s="7">
        <f>Payroll_Data_Analysis[[#This Row],[Annual KPI Bonus Reserve]]+Payroll_Data_Analysis[[#This Row],[Vacation Reserve]]+Payroll_Data_Analysis[[#This Row],[11-Month Salary]]</f>
        <v>1592334.6075085325</v>
      </c>
      <c r="V491" s="7">
        <f>Payroll_Data_Analysis[[#This Row],[Payroll Taxes (KPI Bonus)]]+Payroll_Data_Analysis[[#This Row],[Payroll Taxes (Vacation)]]+Payroll_Data_Analysis[[#This Row],[Payroll Taxes (Salary)]]</f>
        <v>480885.05146757676</v>
      </c>
      <c r="W491" s="13">
        <f>Payroll_Data_Analysis[[#This Row],[Total Payroll]]+Payroll_Data_Analysis[[#This Row],[Total Payroll Taxes]]</f>
        <v>2073219.6589761092</v>
      </c>
    </row>
    <row r="492" spans="1:23">
      <c r="A492" s="11" t="s">
        <v>667</v>
      </c>
      <c r="B492" s="5" t="s">
        <v>495</v>
      </c>
      <c r="C492" s="5" t="s">
        <v>709</v>
      </c>
      <c r="D492" s="28" t="str">
        <f>VLOOKUP(Payroll_Data_Analysis[[#This Row],[Position]],Position_Map!$A$2:$B$58,2,FALSE)</f>
        <v>Engineering</v>
      </c>
      <c r="E492" s="6">
        <v>1</v>
      </c>
      <c r="F492" s="7">
        <v>121400</v>
      </c>
      <c r="G492" s="7">
        <v>80000</v>
      </c>
      <c r="H492" s="7"/>
      <c r="I492" s="7">
        <f>dataset!$F492-dataset!$J492-dataset!$G492-dataset!$H492</f>
        <v>35000</v>
      </c>
      <c r="J492" s="7">
        <f>dataset!$G492*0.08</f>
        <v>6400</v>
      </c>
      <c r="K492" s="7">
        <f>dataset!$F492*12</f>
        <v>1456800</v>
      </c>
      <c r="L492" s="12">
        <f>IF(dataset!$G492&gt;=200000,38%,IF(dataset!$G492&lt;=145000,12.3%,))</f>
        <v>0.12300000000000001</v>
      </c>
      <c r="M492" s="7">
        <f>dataset!$G492*L493*12</f>
        <v>118080.00000000003</v>
      </c>
      <c r="N49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2" s="7">
        <f>dataset!$K492+dataset!$M492</f>
        <v>1574880</v>
      </c>
      <c r="P492" s="7">
        <f>Payroll_Data_Analysis[[#This Row],[Annual Salary + KPI Bonus]]/12/29.3*31</f>
        <v>138854.60750853244</v>
      </c>
      <c r="Q492" s="7">
        <f>IF(Payroll_Data_Analysis[[#This Row],[Vacation Reserve]]&lt;=2979000,Payroll_Data_Analysis[[#This Row],[Vacation Reserve]]*0.302,2979000*0.302+(Payroll_Data_Analysis[[#This Row],[Vacation Reserve]]-2979000)*0.151)</f>
        <v>41934.091467576793</v>
      </c>
      <c r="R492" s="7">
        <f>Payroll_Data_Analysis[[#This Row],[Monthly Salary]]*11</f>
        <v>1335400</v>
      </c>
      <c r="S492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92" s="7">
        <f>IF(Payroll_Data_Analysis[[#This Row],[Base Salary (Monthly)]]&gt;=200000,69507,IF(Payroll_Data_Analysis[[#This Row],[Base Salary (Monthly)]]&gt;=145000,52684,35103))</f>
        <v>35103</v>
      </c>
      <c r="U492" s="7">
        <f>Payroll_Data_Analysis[[#This Row],[Annual KPI Bonus Reserve]]+Payroll_Data_Analysis[[#This Row],[Vacation Reserve]]+Payroll_Data_Analysis[[#This Row],[11-Month Salary]]</f>
        <v>1592334.6075085325</v>
      </c>
      <c r="V492" s="7">
        <f>Payroll_Data_Analysis[[#This Row],[Payroll Taxes (KPI Bonus)]]+Payroll_Data_Analysis[[#This Row],[Payroll Taxes (Vacation)]]+Payroll_Data_Analysis[[#This Row],[Payroll Taxes (Salary)]]</f>
        <v>480885.05146757676</v>
      </c>
      <c r="W492" s="13">
        <f>Payroll_Data_Analysis[[#This Row],[Total Payroll]]+Payroll_Data_Analysis[[#This Row],[Total Payroll Taxes]]</f>
        <v>2073219.6589761092</v>
      </c>
    </row>
    <row r="493" spans="1:23">
      <c r="A493" s="11" t="s">
        <v>667</v>
      </c>
      <c r="B493" s="5" t="s">
        <v>496</v>
      </c>
      <c r="C493" s="5" t="s">
        <v>709</v>
      </c>
      <c r="D493" s="28" t="str">
        <f>VLOOKUP(Payroll_Data_Analysis[[#This Row],[Position]],Position_Map!$A$2:$B$58,2,FALSE)</f>
        <v>Engineering</v>
      </c>
      <c r="E493" s="6">
        <v>1</v>
      </c>
      <c r="F493" s="7">
        <v>121400</v>
      </c>
      <c r="G493" s="7">
        <v>80000</v>
      </c>
      <c r="H493" s="7"/>
      <c r="I493" s="7">
        <f>dataset!$F493-dataset!$J493-dataset!$G493-dataset!$H493</f>
        <v>35000</v>
      </c>
      <c r="J493" s="7">
        <f>dataset!$G493*0.08</f>
        <v>6400</v>
      </c>
      <c r="K493" s="7">
        <f>dataset!$F493*12</f>
        <v>1456800</v>
      </c>
      <c r="L493" s="12">
        <f>IF(dataset!$G493&gt;=200000,38%,IF(dataset!$G493&lt;=145000,12.3%,))</f>
        <v>0.12300000000000001</v>
      </c>
      <c r="M493" s="7">
        <f>dataset!$G493*L494*12</f>
        <v>118080.00000000003</v>
      </c>
      <c r="N49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3" s="7">
        <f>dataset!$K493+dataset!$M493</f>
        <v>1574880</v>
      </c>
      <c r="P493" s="7">
        <f>Payroll_Data_Analysis[[#This Row],[Annual Salary + KPI Bonus]]/12/29.3*31</f>
        <v>138854.60750853244</v>
      </c>
      <c r="Q493" s="7">
        <f>IF(Payroll_Data_Analysis[[#This Row],[Vacation Reserve]]&lt;=2979000,Payroll_Data_Analysis[[#This Row],[Vacation Reserve]]*0.302,2979000*0.302+(Payroll_Data_Analysis[[#This Row],[Vacation Reserve]]-2979000)*0.151)</f>
        <v>41934.091467576793</v>
      </c>
      <c r="R493" s="7">
        <f>Payroll_Data_Analysis[[#This Row],[Monthly Salary]]*11</f>
        <v>1335400</v>
      </c>
      <c r="S493" s="7">
        <f>IF(Payroll_Data_Analysis[[#This Row],[11-Month Salary]]&lt;=2979000,Payroll_Data_Analysis[[#This Row],[11-Month Salary]]*0.302,2979000*0.302+(Payroll_Data_Analysis[[#This Row],[11-Month Salary]]-2979000)*0.151)</f>
        <v>403290.8</v>
      </c>
      <c r="T493" s="7">
        <f>IF(Payroll_Data_Analysis[[#This Row],[Base Salary (Monthly)]]&gt;=200000,69507,IF(Payroll_Data_Analysis[[#This Row],[Base Salary (Monthly)]]&gt;=145000,52684,35103))</f>
        <v>35103</v>
      </c>
      <c r="U493" s="7">
        <f>Payroll_Data_Analysis[[#This Row],[Annual KPI Bonus Reserve]]+Payroll_Data_Analysis[[#This Row],[Vacation Reserve]]+Payroll_Data_Analysis[[#This Row],[11-Month Salary]]</f>
        <v>1592334.6075085325</v>
      </c>
      <c r="V493" s="7">
        <f>Payroll_Data_Analysis[[#This Row],[Payroll Taxes (KPI Bonus)]]+Payroll_Data_Analysis[[#This Row],[Payroll Taxes (Vacation)]]+Payroll_Data_Analysis[[#This Row],[Payroll Taxes (Salary)]]</f>
        <v>480885.05146757676</v>
      </c>
      <c r="W493" s="13">
        <f>Payroll_Data_Analysis[[#This Row],[Total Payroll]]+Payroll_Data_Analysis[[#This Row],[Total Payroll Taxes]]</f>
        <v>2073219.6589761092</v>
      </c>
    </row>
    <row r="494" spans="1:23">
      <c r="A494" s="11" t="s">
        <v>667</v>
      </c>
      <c r="B494" s="5" t="s">
        <v>497</v>
      </c>
      <c r="C494" s="5" t="s">
        <v>724</v>
      </c>
      <c r="D494" s="28" t="str">
        <f>VLOOKUP(Payroll_Data_Analysis[[#This Row],[Position]],Position_Map!$A$2:$B$58,2,FALSE)</f>
        <v>Engineering</v>
      </c>
      <c r="E494" s="6">
        <v>1</v>
      </c>
      <c r="F494" s="7">
        <v>101400</v>
      </c>
      <c r="G494" s="7">
        <v>80000</v>
      </c>
      <c r="H494" s="7"/>
      <c r="I494" s="7">
        <f>dataset!$F494-dataset!$J494-dataset!$G494-dataset!$H494</f>
        <v>15000</v>
      </c>
      <c r="J494" s="7">
        <f>dataset!$G494*0.08</f>
        <v>6400</v>
      </c>
      <c r="K494" s="7">
        <f>dataset!$F494*12</f>
        <v>1216800</v>
      </c>
      <c r="L494" s="12">
        <f>IF(dataset!$G494&gt;=200000,38%,IF(dataset!$G494&lt;=145000,12.3%,))</f>
        <v>0.12300000000000001</v>
      </c>
      <c r="M494" s="7">
        <f>dataset!$G494*L495*12</f>
        <v>118080.00000000003</v>
      </c>
      <c r="N49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4" s="7">
        <f>dataset!$K494+dataset!$M494</f>
        <v>1334880</v>
      </c>
      <c r="P494" s="7">
        <f>Payroll_Data_Analysis[[#This Row],[Annual Salary + KPI Bonus]]/12/29.3*31</f>
        <v>117694.19795221843</v>
      </c>
      <c r="Q494" s="7">
        <f>IF(Payroll_Data_Analysis[[#This Row],[Vacation Reserve]]&lt;=2979000,Payroll_Data_Analysis[[#This Row],[Vacation Reserve]]*0.302,2979000*0.302+(Payroll_Data_Analysis[[#This Row],[Vacation Reserve]]-2979000)*0.151)</f>
        <v>35543.647781569962</v>
      </c>
      <c r="R494" s="7">
        <f>Payroll_Data_Analysis[[#This Row],[Monthly Salary]]*11</f>
        <v>1115400</v>
      </c>
      <c r="S494" s="7">
        <f>IF(Payroll_Data_Analysis[[#This Row],[11-Month Salary]]&lt;=2979000,Payroll_Data_Analysis[[#This Row],[11-Month Salary]]*0.302,2979000*0.302+(Payroll_Data_Analysis[[#This Row],[11-Month Salary]]-2979000)*0.151)</f>
        <v>336850.8</v>
      </c>
      <c r="T494" s="7">
        <f>IF(Payroll_Data_Analysis[[#This Row],[Base Salary (Monthly)]]&gt;=200000,69507,IF(Payroll_Data_Analysis[[#This Row],[Base Salary (Monthly)]]&gt;=145000,52684,35103))</f>
        <v>35103</v>
      </c>
      <c r="U494" s="7">
        <f>Payroll_Data_Analysis[[#This Row],[Annual KPI Bonus Reserve]]+Payroll_Data_Analysis[[#This Row],[Vacation Reserve]]+Payroll_Data_Analysis[[#This Row],[11-Month Salary]]</f>
        <v>1351174.1979522184</v>
      </c>
      <c r="V494" s="7">
        <f>Payroll_Data_Analysis[[#This Row],[Payroll Taxes (KPI Bonus)]]+Payroll_Data_Analysis[[#This Row],[Payroll Taxes (Vacation)]]+Payroll_Data_Analysis[[#This Row],[Payroll Taxes (Salary)]]</f>
        <v>408054.60778156994</v>
      </c>
      <c r="W494" s="13">
        <f>Payroll_Data_Analysis[[#This Row],[Total Payroll]]+Payroll_Data_Analysis[[#This Row],[Total Payroll Taxes]]</f>
        <v>1759228.8057337883</v>
      </c>
    </row>
    <row r="495" spans="1:23">
      <c r="A495" s="11" t="s">
        <v>667</v>
      </c>
      <c r="B495" s="5" t="s">
        <v>498</v>
      </c>
      <c r="C495" s="5" t="s">
        <v>724</v>
      </c>
      <c r="D495" s="28" t="str">
        <f>VLOOKUP(Payroll_Data_Analysis[[#This Row],[Position]],Position_Map!$A$2:$B$58,2,FALSE)</f>
        <v>Engineering</v>
      </c>
      <c r="E495" s="6">
        <v>1</v>
      </c>
      <c r="F495" s="7">
        <v>101400</v>
      </c>
      <c r="G495" s="7">
        <v>80000</v>
      </c>
      <c r="H495" s="7"/>
      <c r="I495" s="7">
        <f>dataset!$F495-dataset!$J495-dataset!$G495-dataset!$H495</f>
        <v>15000</v>
      </c>
      <c r="J495" s="7">
        <f>dataset!$G495*0.08</f>
        <v>6400</v>
      </c>
      <c r="K495" s="7">
        <f>dataset!$F495*12</f>
        <v>1216800</v>
      </c>
      <c r="L495" s="12">
        <f>IF(dataset!$G495&gt;=200000,38%,IF(dataset!$G495&lt;=145000,12.3%,))</f>
        <v>0.12300000000000001</v>
      </c>
      <c r="M495" s="7">
        <f>dataset!$G495*L496*12</f>
        <v>118080.00000000003</v>
      </c>
      <c r="N49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5" s="7">
        <f>dataset!$K495+dataset!$M495</f>
        <v>1334880</v>
      </c>
      <c r="P495" s="7">
        <f>Payroll_Data_Analysis[[#This Row],[Annual Salary + KPI Bonus]]/12/29.3*31</f>
        <v>117694.19795221843</v>
      </c>
      <c r="Q495" s="7">
        <f>IF(Payroll_Data_Analysis[[#This Row],[Vacation Reserve]]&lt;=2979000,Payroll_Data_Analysis[[#This Row],[Vacation Reserve]]*0.302,2979000*0.302+(Payroll_Data_Analysis[[#This Row],[Vacation Reserve]]-2979000)*0.151)</f>
        <v>35543.647781569962</v>
      </c>
      <c r="R495" s="7">
        <f>Payroll_Data_Analysis[[#This Row],[Monthly Salary]]*11</f>
        <v>1115400</v>
      </c>
      <c r="S495" s="7">
        <f>IF(Payroll_Data_Analysis[[#This Row],[11-Month Salary]]&lt;=2979000,Payroll_Data_Analysis[[#This Row],[11-Month Salary]]*0.302,2979000*0.302+(Payroll_Data_Analysis[[#This Row],[11-Month Salary]]-2979000)*0.151)</f>
        <v>336850.8</v>
      </c>
      <c r="T495" s="7">
        <f>IF(Payroll_Data_Analysis[[#This Row],[Base Salary (Monthly)]]&gt;=200000,69507,IF(Payroll_Data_Analysis[[#This Row],[Base Salary (Monthly)]]&gt;=145000,52684,35103))</f>
        <v>35103</v>
      </c>
      <c r="U495" s="7">
        <f>Payroll_Data_Analysis[[#This Row],[Annual KPI Bonus Reserve]]+Payroll_Data_Analysis[[#This Row],[Vacation Reserve]]+Payroll_Data_Analysis[[#This Row],[11-Month Salary]]</f>
        <v>1351174.1979522184</v>
      </c>
      <c r="V495" s="7">
        <f>Payroll_Data_Analysis[[#This Row],[Payroll Taxes (KPI Bonus)]]+Payroll_Data_Analysis[[#This Row],[Payroll Taxes (Vacation)]]+Payroll_Data_Analysis[[#This Row],[Payroll Taxes (Salary)]]</f>
        <v>408054.60778156994</v>
      </c>
      <c r="W495" s="13">
        <f>Payroll_Data_Analysis[[#This Row],[Total Payroll]]+Payroll_Data_Analysis[[#This Row],[Total Payroll Taxes]]</f>
        <v>1759228.8057337883</v>
      </c>
    </row>
    <row r="496" spans="1:23">
      <c r="A496" s="11" t="s">
        <v>667</v>
      </c>
      <c r="B496" s="5" t="s">
        <v>499</v>
      </c>
      <c r="C496" s="5" t="s">
        <v>724</v>
      </c>
      <c r="D496" s="28" t="str">
        <f>VLOOKUP(Payroll_Data_Analysis[[#This Row],[Position]],Position_Map!$A$2:$B$58,2,FALSE)</f>
        <v>Engineering</v>
      </c>
      <c r="E496" s="6">
        <v>1</v>
      </c>
      <c r="F496" s="7">
        <v>101400</v>
      </c>
      <c r="G496" s="7">
        <v>80000</v>
      </c>
      <c r="H496" s="7"/>
      <c r="I496" s="7">
        <f>dataset!$F496-dataset!$J496-dataset!$G496-dataset!$H496</f>
        <v>15000</v>
      </c>
      <c r="J496" s="7">
        <f>dataset!$G496*0.08</f>
        <v>6400</v>
      </c>
      <c r="K496" s="7">
        <f>dataset!$F496*12</f>
        <v>1216800</v>
      </c>
      <c r="L496" s="12">
        <f>IF(dataset!$G496&gt;=200000,38%,IF(dataset!$G496&lt;=145000,12.3%,))</f>
        <v>0.12300000000000001</v>
      </c>
      <c r="M496" s="7">
        <f>dataset!$G496*L497*12</f>
        <v>118080.00000000003</v>
      </c>
      <c r="N49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496" s="7">
        <f>dataset!$K496+dataset!$M496</f>
        <v>1334880</v>
      </c>
      <c r="P496" s="7">
        <f>Payroll_Data_Analysis[[#This Row],[Annual Salary + KPI Bonus]]/12/29.3*31</f>
        <v>117694.19795221843</v>
      </c>
      <c r="Q496" s="7">
        <f>IF(Payroll_Data_Analysis[[#This Row],[Vacation Reserve]]&lt;=2979000,Payroll_Data_Analysis[[#This Row],[Vacation Reserve]]*0.302,2979000*0.302+(Payroll_Data_Analysis[[#This Row],[Vacation Reserve]]-2979000)*0.151)</f>
        <v>35543.647781569962</v>
      </c>
      <c r="R496" s="7">
        <f>Payroll_Data_Analysis[[#This Row],[Monthly Salary]]*11</f>
        <v>1115400</v>
      </c>
      <c r="S496" s="7">
        <f>IF(Payroll_Data_Analysis[[#This Row],[11-Month Salary]]&lt;=2979000,Payroll_Data_Analysis[[#This Row],[11-Month Salary]]*0.302,2979000*0.302+(Payroll_Data_Analysis[[#This Row],[11-Month Salary]]-2979000)*0.151)</f>
        <v>336850.8</v>
      </c>
      <c r="T496" s="7">
        <f>IF(Payroll_Data_Analysis[[#This Row],[Base Salary (Monthly)]]&gt;=200000,69507,IF(Payroll_Data_Analysis[[#This Row],[Base Salary (Monthly)]]&gt;=145000,52684,35103))</f>
        <v>35103</v>
      </c>
      <c r="U496" s="7">
        <f>Payroll_Data_Analysis[[#This Row],[Annual KPI Bonus Reserve]]+Payroll_Data_Analysis[[#This Row],[Vacation Reserve]]+Payroll_Data_Analysis[[#This Row],[11-Month Salary]]</f>
        <v>1351174.1979522184</v>
      </c>
      <c r="V496" s="7">
        <f>Payroll_Data_Analysis[[#This Row],[Payroll Taxes (KPI Bonus)]]+Payroll_Data_Analysis[[#This Row],[Payroll Taxes (Vacation)]]+Payroll_Data_Analysis[[#This Row],[Payroll Taxes (Salary)]]</f>
        <v>408054.60778156994</v>
      </c>
      <c r="W496" s="13">
        <f>Payroll_Data_Analysis[[#This Row],[Total Payroll]]+Payroll_Data_Analysis[[#This Row],[Total Payroll Taxes]]</f>
        <v>1759228.8057337883</v>
      </c>
    </row>
    <row r="497" spans="1:23">
      <c r="A497" s="11" t="s">
        <v>667</v>
      </c>
      <c r="B497" s="5" t="s">
        <v>500</v>
      </c>
      <c r="C497" s="5" t="s">
        <v>724</v>
      </c>
      <c r="D497" s="28" t="str">
        <f>VLOOKUP(Payroll_Data_Analysis[[#This Row],[Position]],Position_Map!$A$2:$B$58,2,FALSE)</f>
        <v>Engineering</v>
      </c>
      <c r="E497" s="6">
        <v>1</v>
      </c>
      <c r="F497" s="7">
        <v>101400</v>
      </c>
      <c r="G497" s="7">
        <v>80000</v>
      </c>
      <c r="H497" s="7"/>
      <c r="I497" s="7">
        <f>dataset!$F497-dataset!$J497-dataset!$G497-dataset!$H497</f>
        <v>15000</v>
      </c>
      <c r="J497" s="7">
        <f>dataset!$G497*0.08</f>
        <v>6400</v>
      </c>
      <c r="K497" s="7">
        <f>dataset!$F497*12</f>
        <v>1216800</v>
      </c>
      <c r="L497" s="12">
        <f>IF(dataset!$G497&gt;=200000,38%,IF(dataset!$G497&lt;=145000,12.3%,))</f>
        <v>0.12300000000000001</v>
      </c>
      <c r="M497" s="7">
        <f>dataset!$G497*L498*12</f>
        <v>364800</v>
      </c>
      <c r="N497" s="7">
        <f>IF(Payroll_Data_Analysis[[#This Row],[Annual KPI Bonus Reserve]]&lt;=2979000,Payroll_Data_Analysis[[#This Row],[Annual KPI Bonus Reserve]]*0.302,2979000*0.302+(Payroll_Data_Analysis[[#This Row],[Annual KPI Bonus Reserve]]-2979000)*0.151)</f>
        <v>110169.59999999999</v>
      </c>
      <c r="O497" s="7">
        <f>dataset!$K497+dataset!$M497</f>
        <v>1581600</v>
      </c>
      <c r="P497" s="7">
        <f>Payroll_Data_Analysis[[#This Row],[Annual Salary + KPI Bonus]]/12/29.3*31</f>
        <v>139447.09897610921</v>
      </c>
      <c r="Q497" s="7">
        <f>IF(Payroll_Data_Analysis[[#This Row],[Vacation Reserve]]&lt;=2979000,Payroll_Data_Analysis[[#This Row],[Vacation Reserve]]*0.302,2979000*0.302+(Payroll_Data_Analysis[[#This Row],[Vacation Reserve]]-2979000)*0.151)</f>
        <v>42113.023890784978</v>
      </c>
      <c r="R497" s="7">
        <f>Payroll_Data_Analysis[[#This Row],[Monthly Salary]]*11</f>
        <v>1115400</v>
      </c>
      <c r="S497" s="7">
        <f>IF(Payroll_Data_Analysis[[#This Row],[11-Month Salary]]&lt;=2979000,Payroll_Data_Analysis[[#This Row],[11-Month Salary]]*0.302,2979000*0.302+(Payroll_Data_Analysis[[#This Row],[11-Month Salary]]-2979000)*0.151)</f>
        <v>336850.8</v>
      </c>
      <c r="T497" s="7">
        <f>IF(Payroll_Data_Analysis[[#This Row],[Base Salary (Monthly)]]&gt;=200000,69507,IF(Payroll_Data_Analysis[[#This Row],[Base Salary (Monthly)]]&gt;=145000,52684,35103))</f>
        <v>35103</v>
      </c>
      <c r="U497" s="7">
        <f>Payroll_Data_Analysis[[#This Row],[Annual KPI Bonus Reserve]]+Payroll_Data_Analysis[[#This Row],[Vacation Reserve]]+Payroll_Data_Analysis[[#This Row],[11-Month Salary]]</f>
        <v>1619647.0989761092</v>
      </c>
      <c r="V497" s="7">
        <f>Payroll_Data_Analysis[[#This Row],[Payroll Taxes (KPI Bonus)]]+Payroll_Data_Analysis[[#This Row],[Payroll Taxes (Vacation)]]+Payroll_Data_Analysis[[#This Row],[Payroll Taxes (Salary)]]</f>
        <v>489133.42389078496</v>
      </c>
      <c r="W497" s="13">
        <f>Payroll_Data_Analysis[[#This Row],[Total Payroll]]+Payroll_Data_Analysis[[#This Row],[Total Payroll Taxes]]</f>
        <v>2108780.522866894</v>
      </c>
    </row>
    <row r="498" spans="1:23">
      <c r="A498" s="11" t="s">
        <v>668</v>
      </c>
      <c r="B498" s="5" t="s">
        <v>501</v>
      </c>
      <c r="C498" s="5" t="s">
        <v>706</v>
      </c>
      <c r="D498" s="28" t="str">
        <f>VLOOKUP(Payroll_Data_Analysis[[#This Row],[Position]],Position_Map!$A$2:$B$58,2,FALSE)</f>
        <v>Management</v>
      </c>
      <c r="E498" s="6">
        <v>1</v>
      </c>
      <c r="F498" s="7">
        <v>396000</v>
      </c>
      <c r="G498" s="7">
        <v>200000</v>
      </c>
      <c r="H498" s="7">
        <v>20000</v>
      </c>
      <c r="I498" s="7">
        <f>dataset!$F498-dataset!$J498-dataset!$G498-dataset!$H498</f>
        <v>160000</v>
      </c>
      <c r="J498" s="7">
        <f>dataset!$G498*0.08</f>
        <v>16000</v>
      </c>
      <c r="K498" s="7">
        <f>dataset!$F498*12</f>
        <v>4752000</v>
      </c>
      <c r="L498" s="12">
        <f>IF(dataset!$G498&gt;=200000,38%,IF(dataset!$G498&lt;=145000,12.3%,))</f>
        <v>0.38</v>
      </c>
      <c r="M498" s="7">
        <f>dataset!$G498*L499*12</f>
        <v>295200.00000000006</v>
      </c>
      <c r="N498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498" s="7">
        <f>dataset!$K498+dataset!$M498</f>
        <v>5047200</v>
      </c>
      <c r="P498" s="7">
        <f>Payroll_Data_Analysis[[#This Row],[Annual Salary + KPI Bonus]]/12/29.3*31</f>
        <v>445003.41296928324</v>
      </c>
      <c r="Q498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498" s="7">
        <f>Payroll_Data_Analysis[[#This Row],[Monthly Salary]]*11</f>
        <v>4356000</v>
      </c>
      <c r="S498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498" s="7">
        <f>IF(Payroll_Data_Analysis[[#This Row],[Base Salary (Monthly)]]&gt;=200000,69507,IF(Payroll_Data_Analysis[[#This Row],[Base Salary (Monthly)]]&gt;=145000,52684,35103))</f>
        <v>69507</v>
      </c>
      <c r="U498" s="7">
        <f>Payroll_Data_Analysis[[#This Row],[Annual KPI Bonus Reserve]]+Payroll_Data_Analysis[[#This Row],[Vacation Reserve]]+Payroll_Data_Analysis[[#This Row],[11-Month Salary]]</f>
        <v>5096203.4129692838</v>
      </c>
      <c r="V498" s="7">
        <f>Payroll_Data_Analysis[[#This Row],[Payroll Taxes (KPI Bonus)]]+Payroll_Data_Analysis[[#This Row],[Payroll Taxes (Vacation)]]+Payroll_Data_Analysis[[#This Row],[Payroll Taxes (Salary)]]</f>
        <v>1331126.4307167237</v>
      </c>
      <c r="W498" s="13">
        <f>Payroll_Data_Analysis[[#This Row],[Total Payroll]]+Payroll_Data_Analysis[[#This Row],[Total Payroll Taxes]]</f>
        <v>6427329.843686007</v>
      </c>
    </row>
    <row r="499" spans="1:23">
      <c r="A499" s="11" t="s">
        <v>668</v>
      </c>
      <c r="B499" s="5" t="s">
        <v>502</v>
      </c>
      <c r="C499" s="5" t="s">
        <v>713</v>
      </c>
      <c r="D499" s="28" t="str">
        <f>VLOOKUP(Payroll_Data_Analysis[[#This Row],[Position]],Position_Map!$A$2:$B$58,2,FALSE)</f>
        <v>Management</v>
      </c>
      <c r="E499" s="6">
        <v>1</v>
      </c>
      <c r="F499" s="7">
        <v>266000</v>
      </c>
      <c r="G499" s="7">
        <v>145000</v>
      </c>
      <c r="H499" s="7"/>
      <c r="I499" s="7">
        <f>dataset!$F499-dataset!$J499-dataset!$G499-dataset!$H499</f>
        <v>109400</v>
      </c>
      <c r="J499" s="7">
        <f>dataset!$G499*0.08</f>
        <v>11600</v>
      </c>
      <c r="K499" s="7">
        <f>dataset!$F499*12</f>
        <v>3192000</v>
      </c>
      <c r="L499" s="12">
        <f>IF(dataset!$G499&gt;=200000,38%,IF(dataset!$G499&lt;=145000,12.3%,))</f>
        <v>0.12300000000000001</v>
      </c>
      <c r="M499" s="7">
        <f>dataset!$G499*L500*12</f>
        <v>214020</v>
      </c>
      <c r="N49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499" s="7">
        <f>dataset!$K499+dataset!$M499</f>
        <v>3406020</v>
      </c>
      <c r="P499" s="7">
        <f>Payroll_Data_Analysis[[#This Row],[Annual Salary + KPI Bonus]]/12/29.3*31</f>
        <v>300303.24232081912</v>
      </c>
      <c r="Q499" s="7">
        <f>IF(Payroll_Data_Analysis[[#This Row],[Vacation Reserve]]&lt;=2979000,Payroll_Data_Analysis[[#This Row],[Vacation Reserve]]*0.302,2979000*0.302+(Payroll_Data_Analysis[[#This Row],[Vacation Reserve]]-2979000)*0.151)</f>
        <v>90691.579180887376</v>
      </c>
      <c r="R499" s="7">
        <f>Payroll_Data_Analysis[[#This Row],[Monthly Salary]]*11</f>
        <v>2926000</v>
      </c>
      <c r="S499" s="7">
        <f>IF(Payroll_Data_Analysis[[#This Row],[11-Month Salary]]&lt;=2979000,Payroll_Data_Analysis[[#This Row],[11-Month Salary]]*0.302,2979000*0.302+(Payroll_Data_Analysis[[#This Row],[11-Month Salary]]-2979000)*0.151)</f>
        <v>883652</v>
      </c>
      <c r="T499" s="7">
        <f>IF(Payroll_Data_Analysis[[#This Row],[Base Salary (Monthly)]]&gt;=200000,69507,IF(Payroll_Data_Analysis[[#This Row],[Base Salary (Monthly)]]&gt;=145000,52684,35103))</f>
        <v>52684</v>
      </c>
      <c r="U499" s="7">
        <f>Payroll_Data_Analysis[[#This Row],[Annual KPI Bonus Reserve]]+Payroll_Data_Analysis[[#This Row],[Vacation Reserve]]+Payroll_Data_Analysis[[#This Row],[11-Month Salary]]</f>
        <v>3440323.2423208193</v>
      </c>
      <c r="V499" s="7">
        <f>Payroll_Data_Analysis[[#This Row],[Payroll Taxes (KPI Bonus)]]+Payroll_Data_Analysis[[#This Row],[Payroll Taxes (Vacation)]]+Payroll_Data_Analysis[[#This Row],[Payroll Taxes (Salary)]]</f>
        <v>1038977.6191808874</v>
      </c>
      <c r="W499" s="13">
        <f>Payroll_Data_Analysis[[#This Row],[Total Payroll]]+Payroll_Data_Analysis[[#This Row],[Total Payroll Taxes]]</f>
        <v>4479300.8615017068</v>
      </c>
    </row>
    <row r="500" spans="1:23">
      <c r="A500" s="11" t="s">
        <v>668</v>
      </c>
      <c r="B500" s="5" t="s">
        <v>503</v>
      </c>
      <c r="C500" s="5" t="s">
        <v>714</v>
      </c>
      <c r="D500" s="28" t="str">
        <f>VLOOKUP(Payroll_Data_Analysis[[#This Row],[Position]],Position_Map!$A$2:$B$58,2,FALSE)</f>
        <v>Management</v>
      </c>
      <c r="E500" s="6">
        <v>1</v>
      </c>
      <c r="F500" s="7">
        <v>271600</v>
      </c>
      <c r="G500" s="7">
        <v>145000</v>
      </c>
      <c r="H500" s="7"/>
      <c r="I500" s="7">
        <f>dataset!$F500-dataset!$J500-dataset!$G500-dataset!$H500</f>
        <v>115000</v>
      </c>
      <c r="J500" s="7">
        <f>dataset!$G500*0.08</f>
        <v>11600</v>
      </c>
      <c r="K500" s="7">
        <f>dataset!$F500*12</f>
        <v>3259200</v>
      </c>
      <c r="L500" s="12">
        <f>IF(dataset!$G500&gt;=200000,38%,IF(dataset!$G500&lt;=145000,12.3%,))</f>
        <v>0.12300000000000001</v>
      </c>
      <c r="M500" s="7">
        <f>dataset!$G500*L501*12</f>
        <v>214020</v>
      </c>
      <c r="N50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00" s="7">
        <f>dataset!$K500+dataset!$M500</f>
        <v>3473220</v>
      </c>
      <c r="P500" s="7">
        <f>Payroll_Data_Analysis[[#This Row],[Annual Salary + KPI Bonus]]/12/29.3*31</f>
        <v>306228.15699658706</v>
      </c>
      <c r="Q500" s="7">
        <f>IF(Payroll_Data_Analysis[[#This Row],[Vacation Reserve]]&lt;=2979000,Payroll_Data_Analysis[[#This Row],[Vacation Reserve]]*0.302,2979000*0.302+(Payroll_Data_Analysis[[#This Row],[Vacation Reserve]]-2979000)*0.151)</f>
        <v>92480.903412969288</v>
      </c>
      <c r="R500" s="7">
        <f>Payroll_Data_Analysis[[#This Row],[Monthly Salary]]*11</f>
        <v>2987600</v>
      </c>
      <c r="S500" s="7">
        <f>IF(Payroll_Data_Analysis[[#This Row],[11-Month Salary]]&lt;=2979000,Payroll_Data_Analysis[[#This Row],[11-Month Salary]]*0.302,2979000*0.302+(Payroll_Data_Analysis[[#This Row],[11-Month Salary]]-2979000)*0.151)</f>
        <v>900956.6</v>
      </c>
      <c r="T500" s="7">
        <f>IF(Payroll_Data_Analysis[[#This Row],[Base Salary (Monthly)]]&gt;=200000,69507,IF(Payroll_Data_Analysis[[#This Row],[Base Salary (Monthly)]]&gt;=145000,52684,35103))</f>
        <v>52684</v>
      </c>
      <c r="U500" s="7">
        <f>Payroll_Data_Analysis[[#This Row],[Annual KPI Bonus Reserve]]+Payroll_Data_Analysis[[#This Row],[Vacation Reserve]]+Payroll_Data_Analysis[[#This Row],[11-Month Salary]]</f>
        <v>3507848.1569965873</v>
      </c>
      <c r="V500" s="7">
        <f>Payroll_Data_Analysis[[#This Row],[Payroll Taxes (KPI Bonus)]]+Payroll_Data_Analysis[[#This Row],[Payroll Taxes (Vacation)]]+Payroll_Data_Analysis[[#This Row],[Payroll Taxes (Salary)]]</f>
        <v>1058071.5434129692</v>
      </c>
      <c r="W500" s="13">
        <f>Payroll_Data_Analysis[[#This Row],[Total Payroll]]+Payroll_Data_Analysis[[#This Row],[Total Payroll Taxes]]</f>
        <v>4565919.7004095567</v>
      </c>
    </row>
    <row r="501" spans="1:23">
      <c r="A501" s="11" t="s">
        <v>668</v>
      </c>
      <c r="B501" s="5" t="s">
        <v>504</v>
      </c>
      <c r="C501" s="18" t="s">
        <v>708</v>
      </c>
      <c r="D501" s="28" t="str">
        <f>VLOOKUP(Payroll_Data_Analysis[[#This Row],[Position]],Position_Map!$A$2:$B$58,2,FALSE)</f>
        <v>Professional</v>
      </c>
      <c r="E501" s="6">
        <v>1</v>
      </c>
      <c r="F501" s="7">
        <v>158000</v>
      </c>
      <c r="G501" s="7">
        <v>100000</v>
      </c>
      <c r="H501" s="7"/>
      <c r="I501" s="7">
        <f>dataset!$F501-dataset!$J501-dataset!$G501-dataset!$H501</f>
        <v>50000</v>
      </c>
      <c r="J501" s="7">
        <f>dataset!$G501*0.08</f>
        <v>8000</v>
      </c>
      <c r="K501" s="7">
        <f>dataset!$F501*12</f>
        <v>1896000</v>
      </c>
      <c r="L501" s="12">
        <f>IF(dataset!$G501&gt;=200000,38%,IF(dataset!$G501&lt;=145000,12.3%,))</f>
        <v>0.12300000000000001</v>
      </c>
      <c r="M501" s="7">
        <f>dataset!$G501*L502*12</f>
        <v>147600.00000000003</v>
      </c>
      <c r="N50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01" s="7">
        <f>dataset!$K501+dataset!$M501</f>
        <v>2043600</v>
      </c>
      <c r="P501" s="7">
        <f>Payroll_Data_Analysis[[#This Row],[Annual Salary + KPI Bonus]]/12/29.3*31</f>
        <v>180180.88737201365</v>
      </c>
      <c r="Q501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01" s="7">
        <f>Payroll_Data_Analysis[[#This Row],[Monthly Salary]]*11</f>
        <v>1738000</v>
      </c>
      <c r="S501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01" s="7">
        <f>IF(Payroll_Data_Analysis[[#This Row],[Base Salary (Monthly)]]&gt;=200000,69507,IF(Payroll_Data_Analysis[[#This Row],[Base Salary (Monthly)]]&gt;=145000,52684,35103))</f>
        <v>35103</v>
      </c>
      <c r="U501" s="7">
        <f>Payroll_Data_Analysis[[#This Row],[Annual KPI Bonus Reserve]]+Payroll_Data_Analysis[[#This Row],[Vacation Reserve]]+Payroll_Data_Analysis[[#This Row],[11-Month Salary]]</f>
        <v>2065780.8873720136</v>
      </c>
      <c r="V501" s="7">
        <f>Payroll_Data_Analysis[[#This Row],[Payroll Taxes (KPI Bonus)]]+Payroll_Data_Analysis[[#This Row],[Payroll Taxes (Vacation)]]+Payroll_Data_Analysis[[#This Row],[Payroll Taxes (Salary)]]</f>
        <v>623865.82798634819</v>
      </c>
      <c r="W501" s="13">
        <f>Payroll_Data_Analysis[[#This Row],[Total Payroll]]+Payroll_Data_Analysis[[#This Row],[Total Payroll Taxes]]</f>
        <v>2689646.7153583616</v>
      </c>
    </row>
    <row r="502" spans="1:23">
      <c r="A502" s="11" t="s">
        <v>668</v>
      </c>
      <c r="B502" s="5" t="s">
        <v>505</v>
      </c>
      <c r="C502" s="18" t="s">
        <v>705</v>
      </c>
      <c r="D502" s="28" t="str">
        <f>VLOOKUP(Payroll_Data_Analysis[[#This Row],[Position]],Position_Map!$A$2:$B$58,2,FALSE)</f>
        <v>Professional</v>
      </c>
      <c r="E502" s="6">
        <v>1</v>
      </c>
      <c r="F502" s="7">
        <v>116400</v>
      </c>
      <c r="G502" s="7">
        <v>80000</v>
      </c>
      <c r="H502" s="7"/>
      <c r="I502" s="7">
        <f>dataset!$F502-dataset!$J502-dataset!$G502-dataset!$H502</f>
        <v>30000</v>
      </c>
      <c r="J502" s="7">
        <f>dataset!$G502*0.08</f>
        <v>6400</v>
      </c>
      <c r="K502" s="7">
        <f>dataset!$F502*12</f>
        <v>1396800</v>
      </c>
      <c r="L502" s="12">
        <f>IF(dataset!$G502&gt;=200000,38%,IF(dataset!$G502&lt;=145000,12.3%,))</f>
        <v>0.12300000000000001</v>
      </c>
      <c r="M502" s="7">
        <f>dataset!$G502*L503*12</f>
        <v>118080.00000000003</v>
      </c>
      <c r="N50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02" s="7">
        <f>dataset!$K502+dataset!$M502</f>
        <v>1514880</v>
      </c>
      <c r="P502" s="7">
        <f>Payroll_Data_Analysis[[#This Row],[Annual Salary + KPI Bonus]]/12/29.3*31</f>
        <v>133564.50511945394</v>
      </c>
      <c r="Q502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502" s="7">
        <f>Payroll_Data_Analysis[[#This Row],[Monthly Salary]]*11</f>
        <v>1280400</v>
      </c>
      <c r="S502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502" s="7">
        <f>IF(Payroll_Data_Analysis[[#This Row],[Base Salary (Monthly)]]&gt;=200000,69507,IF(Payroll_Data_Analysis[[#This Row],[Base Salary (Monthly)]]&gt;=145000,52684,35103))</f>
        <v>35103</v>
      </c>
      <c r="U502" s="7">
        <f>Payroll_Data_Analysis[[#This Row],[Annual KPI Bonus Reserve]]+Payroll_Data_Analysis[[#This Row],[Vacation Reserve]]+Payroll_Data_Analysis[[#This Row],[11-Month Salary]]</f>
        <v>1532044.5051194539</v>
      </c>
      <c r="V502" s="7">
        <f>Payroll_Data_Analysis[[#This Row],[Payroll Taxes (KPI Bonus)]]+Payroll_Data_Analysis[[#This Row],[Payroll Taxes (Vacation)]]+Payroll_Data_Analysis[[#This Row],[Payroll Taxes (Salary)]]</f>
        <v>462677.44054607511</v>
      </c>
      <c r="W502" s="13">
        <f>Payroll_Data_Analysis[[#This Row],[Total Payroll]]+Payroll_Data_Analysis[[#This Row],[Total Payroll Taxes]]</f>
        <v>1994721.945665529</v>
      </c>
    </row>
    <row r="503" spans="1:23">
      <c r="A503" s="11" t="s">
        <v>668</v>
      </c>
      <c r="B503" s="5" t="s">
        <v>506</v>
      </c>
      <c r="C503" s="18" t="s">
        <v>705</v>
      </c>
      <c r="D503" s="28" t="str">
        <f>VLOOKUP(Payroll_Data_Analysis[[#This Row],[Position]],Position_Map!$A$2:$B$58,2,FALSE)</f>
        <v>Professional</v>
      </c>
      <c r="E503" s="6">
        <v>1</v>
      </c>
      <c r="F503" s="7">
        <v>173000</v>
      </c>
      <c r="G503" s="7">
        <v>100000</v>
      </c>
      <c r="H503" s="7"/>
      <c r="I503" s="7">
        <f>dataset!$F503-dataset!$J503-dataset!$G503-dataset!$H503</f>
        <v>65000</v>
      </c>
      <c r="J503" s="7">
        <f>dataset!$G503*0.08</f>
        <v>8000</v>
      </c>
      <c r="K503" s="7">
        <f>dataset!$F503*12</f>
        <v>2076000</v>
      </c>
      <c r="L503" s="12">
        <f>IF(dataset!$G503&gt;=200000,38%,IF(dataset!$G503&lt;=145000,12.3%,))</f>
        <v>0.12300000000000001</v>
      </c>
      <c r="M503" s="7">
        <f>dataset!$G503*L504*12</f>
        <v>147600.00000000003</v>
      </c>
      <c r="N50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03" s="7">
        <f>dataset!$K503+dataset!$M503</f>
        <v>2223600</v>
      </c>
      <c r="P503" s="7">
        <f>Payroll_Data_Analysis[[#This Row],[Annual Salary + KPI Bonus]]/12/29.3*31</f>
        <v>196051.19453924915</v>
      </c>
      <c r="Q503" s="7">
        <f>IF(Payroll_Data_Analysis[[#This Row],[Vacation Reserve]]&lt;=2979000,Payroll_Data_Analysis[[#This Row],[Vacation Reserve]]*0.302,2979000*0.302+(Payroll_Data_Analysis[[#This Row],[Vacation Reserve]]-2979000)*0.151)</f>
        <v>59207.460750853243</v>
      </c>
      <c r="R503" s="7">
        <f>Payroll_Data_Analysis[[#This Row],[Monthly Salary]]*11</f>
        <v>1903000</v>
      </c>
      <c r="S503" s="7">
        <f>IF(Payroll_Data_Analysis[[#This Row],[11-Month Salary]]&lt;=2979000,Payroll_Data_Analysis[[#This Row],[11-Month Salary]]*0.302,2979000*0.302+(Payroll_Data_Analysis[[#This Row],[11-Month Salary]]-2979000)*0.151)</f>
        <v>574706</v>
      </c>
      <c r="T503" s="7">
        <f>IF(Payroll_Data_Analysis[[#This Row],[Base Salary (Monthly)]]&gt;=200000,69507,IF(Payroll_Data_Analysis[[#This Row],[Base Salary (Monthly)]]&gt;=145000,52684,35103))</f>
        <v>35103</v>
      </c>
      <c r="U503" s="7">
        <f>Payroll_Data_Analysis[[#This Row],[Annual KPI Bonus Reserve]]+Payroll_Data_Analysis[[#This Row],[Vacation Reserve]]+Payroll_Data_Analysis[[#This Row],[11-Month Salary]]</f>
        <v>2246651.1945392489</v>
      </c>
      <c r="V503" s="7">
        <f>Payroll_Data_Analysis[[#This Row],[Payroll Taxes (KPI Bonus)]]+Payroll_Data_Analysis[[#This Row],[Payroll Taxes (Vacation)]]+Payroll_Data_Analysis[[#This Row],[Payroll Taxes (Salary)]]</f>
        <v>678488.66075085325</v>
      </c>
      <c r="W503" s="13">
        <f>Payroll_Data_Analysis[[#This Row],[Total Payroll]]+Payroll_Data_Analysis[[#This Row],[Total Payroll Taxes]]</f>
        <v>2925139.8552901023</v>
      </c>
    </row>
    <row r="504" spans="1:23">
      <c r="A504" s="11" t="s">
        <v>668</v>
      </c>
      <c r="B504" s="5" t="s">
        <v>507</v>
      </c>
      <c r="C504" s="18" t="s">
        <v>705</v>
      </c>
      <c r="D504" s="28" t="str">
        <f>VLOOKUP(Payroll_Data_Analysis[[#This Row],[Position]],Position_Map!$A$2:$B$58,2,FALSE)</f>
        <v>Professional</v>
      </c>
      <c r="E504" s="6">
        <v>1</v>
      </c>
      <c r="F504" s="7">
        <v>140500</v>
      </c>
      <c r="G504" s="7">
        <v>100000</v>
      </c>
      <c r="H504" s="7"/>
      <c r="I504" s="7">
        <f>dataset!$F504-dataset!$J504-dataset!$G504-dataset!$H504</f>
        <v>32500</v>
      </c>
      <c r="J504" s="7">
        <f>dataset!$G504*0.08</f>
        <v>8000</v>
      </c>
      <c r="K504" s="7">
        <f>dataset!$F504*12</f>
        <v>1686000</v>
      </c>
      <c r="L504" s="12">
        <f>IF(dataset!$G504&gt;=200000,38%,IF(dataset!$G504&lt;=145000,12.3%,))</f>
        <v>0.12300000000000001</v>
      </c>
      <c r="M504" s="7">
        <f>dataset!$G504*L505*12</f>
        <v>147600.00000000003</v>
      </c>
      <c r="N50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04" s="7">
        <f>dataset!$K504+dataset!$M504</f>
        <v>1833600</v>
      </c>
      <c r="P504" s="7">
        <f>Payroll_Data_Analysis[[#This Row],[Annual Salary + KPI Bonus]]/12/29.3*31</f>
        <v>161665.52901023891</v>
      </c>
      <c r="Q504" s="7">
        <f>IF(Payroll_Data_Analysis[[#This Row],[Vacation Reserve]]&lt;=2979000,Payroll_Data_Analysis[[#This Row],[Vacation Reserve]]*0.302,2979000*0.302+(Payroll_Data_Analysis[[#This Row],[Vacation Reserve]]-2979000)*0.151)</f>
        <v>48822.989761092147</v>
      </c>
      <c r="R504" s="7">
        <f>Payroll_Data_Analysis[[#This Row],[Monthly Salary]]*11</f>
        <v>1545500</v>
      </c>
      <c r="S504" s="7">
        <f>IF(Payroll_Data_Analysis[[#This Row],[11-Month Salary]]&lt;=2979000,Payroll_Data_Analysis[[#This Row],[11-Month Salary]]*0.302,2979000*0.302+(Payroll_Data_Analysis[[#This Row],[11-Month Salary]]-2979000)*0.151)</f>
        <v>466741</v>
      </c>
      <c r="T504" s="7">
        <f>IF(Payroll_Data_Analysis[[#This Row],[Base Salary (Monthly)]]&gt;=200000,69507,IF(Payroll_Data_Analysis[[#This Row],[Base Salary (Monthly)]]&gt;=145000,52684,35103))</f>
        <v>35103</v>
      </c>
      <c r="U504" s="7">
        <f>Payroll_Data_Analysis[[#This Row],[Annual KPI Bonus Reserve]]+Payroll_Data_Analysis[[#This Row],[Vacation Reserve]]+Payroll_Data_Analysis[[#This Row],[11-Month Salary]]</f>
        <v>1854765.5290102391</v>
      </c>
      <c r="V504" s="7">
        <f>Payroll_Data_Analysis[[#This Row],[Payroll Taxes (KPI Bonus)]]+Payroll_Data_Analysis[[#This Row],[Payroll Taxes (Vacation)]]+Payroll_Data_Analysis[[#This Row],[Payroll Taxes (Salary)]]</f>
        <v>560139.18976109219</v>
      </c>
      <c r="W504" s="13">
        <f>Payroll_Data_Analysis[[#This Row],[Total Payroll]]+Payroll_Data_Analysis[[#This Row],[Total Payroll Taxes]]</f>
        <v>2414904.718771331</v>
      </c>
    </row>
    <row r="505" spans="1:23">
      <c r="A505" s="11" t="s">
        <v>668</v>
      </c>
      <c r="B505" s="5" t="s">
        <v>508</v>
      </c>
      <c r="C505" s="18" t="s">
        <v>703</v>
      </c>
      <c r="D505" s="28" t="str">
        <f>VLOOKUP(Payroll_Data_Analysis[[#This Row],[Position]],Position_Map!$A$2:$B$58,2,FALSE)</f>
        <v>Management</v>
      </c>
      <c r="E505" s="6">
        <v>1</v>
      </c>
      <c r="F505" s="7">
        <v>261600</v>
      </c>
      <c r="G505" s="7">
        <v>145000</v>
      </c>
      <c r="H505" s="7"/>
      <c r="I505" s="7">
        <f>dataset!$F505-dataset!$J505-dataset!$G505-dataset!$H505</f>
        <v>105000</v>
      </c>
      <c r="J505" s="7">
        <f>dataset!$G505*0.08</f>
        <v>11600</v>
      </c>
      <c r="K505" s="7">
        <f>dataset!$F505*12</f>
        <v>3139200</v>
      </c>
      <c r="L505" s="12">
        <f>IF(dataset!$G505&gt;=200000,38%,IF(dataset!$G505&lt;=145000,12.3%,))</f>
        <v>0.12300000000000001</v>
      </c>
      <c r="M505" s="7">
        <f>dataset!$G505*L506*12</f>
        <v>214020</v>
      </c>
      <c r="N50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05" s="7">
        <f>dataset!$K505+dataset!$M505</f>
        <v>3353220</v>
      </c>
      <c r="P505" s="7">
        <f>Payroll_Data_Analysis[[#This Row],[Annual Salary + KPI Bonus]]/12/29.3*31</f>
        <v>295647.95221843006</v>
      </c>
      <c r="Q505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505" s="7">
        <f>Payroll_Data_Analysis[[#This Row],[Monthly Salary]]*11</f>
        <v>2877600</v>
      </c>
      <c r="S505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505" s="7">
        <f>IF(Payroll_Data_Analysis[[#This Row],[Base Salary (Monthly)]]&gt;=200000,69507,IF(Payroll_Data_Analysis[[#This Row],[Base Salary (Monthly)]]&gt;=145000,52684,35103))</f>
        <v>52684</v>
      </c>
      <c r="U505" s="7">
        <f>Payroll_Data_Analysis[[#This Row],[Annual KPI Bonus Reserve]]+Payroll_Data_Analysis[[#This Row],[Vacation Reserve]]+Payroll_Data_Analysis[[#This Row],[11-Month Salary]]</f>
        <v>3387267.9522184301</v>
      </c>
      <c r="V505" s="7">
        <f>Payroll_Data_Analysis[[#This Row],[Payroll Taxes (KPI Bonus)]]+Payroll_Data_Analysis[[#This Row],[Payroll Taxes (Vacation)]]+Payroll_Data_Analysis[[#This Row],[Payroll Taxes (Salary)]]</f>
        <v>1022954.9215699658</v>
      </c>
      <c r="W505" s="13">
        <f>Payroll_Data_Analysis[[#This Row],[Total Payroll]]+Payroll_Data_Analysis[[#This Row],[Total Payroll Taxes]]</f>
        <v>4410222.8737883959</v>
      </c>
    </row>
    <row r="506" spans="1:23">
      <c r="A506" s="11" t="s">
        <v>668</v>
      </c>
      <c r="B506" s="5" t="s">
        <v>509</v>
      </c>
      <c r="C506" s="18" t="s">
        <v>708</v>
      </c>
      <c r="D506" s="28" t="str">
        <f>VLOOKUP(Payroll_Data_Analysis[[#This Row],[Position]],Position_Map!$A$2:$B$58,2,FALSE)</f>
        <v>Professional</v>
      </c>
      <c r="E506" s="6">
        <v>1</v>
      </c>
      <c r="F506" s="7">
        <v>186600</v>
      </c>
      <c r="G506" s="7">
        <v>145000</v>
      </c>
      <c r="H506" s="7"/>
      <c r="I506" s="7">
        <f>dataset!$F506-dataset!$J506-dataset!$G506-dataset!$H506</f>
        <v>30000</v>
      </c>
      <c r="J506" s="7">
        <f>dataset!$G506*0.08</f>
        <v>11600</v>
      </c>
      <c r="K506" s="7">
        <f>dataset!$F506*12</f>
        <v>2239200</v>
      </c>
      <c r="L506" s="12">
        <f>IF(dataset!$G506&gt;=200000,38%,IF(dataset!$G506&lt;=145000,12.3%,))</f>
        <v>0.12300000000000001</v>
      </c>
      <c r="M506" s="7">
        <f>dataset!$G506*L507*12</f>
        <v>214020</v>
      </c>
      <c r="N50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06" s="7">
        <f>dataset!$K506+dataset!$M506</f>
        <v>2453220</v>
      </c>
      <c r="P506" s="7">
        <f>Payroll_Data_Analysis[[#This Row],[Annual Salary + KPI Bonus]]/12/29.3*31</f>
        <v>216296.41638225256</v>
      </c>
      <c r="Q506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506" s="7">
        <f>Payroll_Data_Analysis[[#This Row],[Monthly Salary]]*11</f>
        <v>2052600</v>
      </c>
      <c r="S506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506" s="7">
        <f>IF(Payroll_Data_Analysis[[#This Row],[Base Salary (Monthly)]]&gt;=200000,69507,IF(Payroll_Data_Analysis[[#This Row],[Base Salary (Monthly)]]&gt;=145000,52684,35103))</f>
        <v>52684</v>
      </c>
      <c r="U506" s="7">
        <f>Payroll_Data_Analysis[[#This Row],[Annual KPI Bonus Reserve]]+Payroll_Data_Analysis[[#This Row],[Vacation Reserve]]+Payroll_Data_Analysis[[#This Row],[11-Month Salary]]</f>
        <v>2482916.4163822527</v>
      </c>
      <c r="V506" s="7">
        <f>Payroll_Data_Analysis[[#This Row],[Payroll Taxes (KPI Bonus)]]+Payroll_Data_Analysis[[#This Row],[Payroll Taxes (Vacation)]]+Payroll_Data_Analysis[[#This Row],[Payroll Taxes (Salary)]]</f>
        <v>749840.75774744025</v>
      </c>
      <c r="W506" s="13">
        <f>Payroll_Data_Analysis[[#This Row],[Total Payroll]]+Payroll_Data_Analysis[[#This Row],[Total Payroll Taxes]]</f>
        <v>3232757.1741296928</v>
      </c>
    </row>
    <row r="507" spans="1:23">
      <c r="A507" s="11" t="s">
        <v>668</v>
      </c>
      <c r="B507" s="5" t="s">
        <v>510</v>
      </c>
      <c r="C507" s="18" t="s">
        <v>705</v>
      </c>
      <c r="D507" s="28" t="str">
        <f>VLOOKUP(Payroll_Data_Analysis[[#This Row],[Position]],Position_Map!$A$2:$B$58,2,FALSE)</f>
        <v>Professional</v>
      </c>
      <c r="E507" s="6">
        <v>1</v>
      </c>
      <c r="F507" s="7">
        <v>104800</v>
      </c>
      <c r="G507" s="7">
        <v>60000</v>
      </c>
      <c r="H507" s="7"/>
      <c r="I507" s="7">
        <f>dataset!$F507-dataset!$J507-dataset!$G507-dataset!$H507</f>
        <v>40000</v>
      </c>
      <c r="J507" s="7">
        <f>dataset!$G507*0.08</f>
        <v>4800</v>
      </c>
      <c r="K507" s="7">
        <f>dataset!$F507*12</f>
        <v>1257600</v>
      </c>
      <c r="L507" s="12">
        <f>IF(dataset!$G507&gt;=200000,38%,IF(dataset!$G507&lt;=145000,12.3%,))</f>
        <v>0.12300000000000001</v>
      </c>
      <c r="M507" s="7">
        <f>dataset!$G507*L508*12</f>
        <v>88560.000000000015</v>
      </c>
      <c r="N50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07" s="7">
        <f>dataset!$K507+dataset!$M507</f>
        <v>1346160</v>
      </c>
      <c r="P507" s="7">
        <f>Payroll_Data_Analysis[[#This Row],[Annual Salary + KPI Bonus]]/12/29.3*31</f>
        <v>118688.73720136518</v>
      </c>
      <c r="Q507" s="7">
        <f>IF(Payroll_Data_Analysis[[#This Row],[Vacation Reserve]]&lt;=2979000,Payroll_Data_Analysis[[#This Row],[Vacation Reserve]]*0.302,2979000*0.302+(Payroll_Data_Analysis[[#This Row],[Vacation Reserve]]-2979000)*0.151)</f>
        <v>35843.998634812284</v>
      </c>
      <c r="R507" s="7">
        <f>Payroll_Data_Analysis[[#This Row],[Monthly Salary]]*11</f>
        <v>1152800</v>
      </c>
      <c r="S507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507" s="7">
        <f>IF(Payroll_Data_Analysis[[#This Row],[Base Salary (Monthly)]]&gt;=200000,69507,IF(Payroll_Data_Analysis[[#This Row],[Base Salary (Monthly)]]&gt;=145000,52684,35103))</f>
        <v>35103</v>
      </c>
      <c r="U507" s="7">
        <f>Payroll_Data_Analysis[[#This Row],[Annual KPI Bonus Reserve]]+Payroll_Data_Analysis[[#This Row],[Vacation Reserve]]+Payroll_Data_Analysis[[#This Row],[11-Month Salary]]</f>
        <v>1360048.7372013652</v>
      </c>
      <c r="V507" s="7">
        <f>Payroll_Data_Analysis[[#This Row],[Payroll Taxes (KPI Bonus)]]+Payroll_Data_Analysis[[#This Row],[Payroll Taxes (Vacation)]]+Payroll_Data_Analysis[[#This Row],[Payroll Taxes (Salary)]]</f>
        <v>410734.71863481228</v>
      </c>
      <c r="W507" s="13">
        <f>Payroll_Data_Analysis[[#This Row],[Total Payroll]]+Payroll_Data_Analysis[[#This Row],[Total Payroll Taxes]]</f>
        <v>1770783.4558361773</v>
      </c>
    </row>
    <row r="508" spans="1:23">
      <c r="A508" s="11" t="s">
        <v>668</v>
      </c>
      <c r="B508" s="5" t="s">
        <v>511</v>
      </c>
      <c r="C508" s="18" t="s">
        <v>708</v>
      </c>
      <c r="D508" s="28" t="str">
        <f>VLOOKUP(Payroll_Data_Analysis[[#This Row],[Position]],Position_Map!$A$2:$B$58,2,FALSE)</f>
        <v>Professional</v>
      </c>
      <c r="E508" s="6">
        <v>1</v>
      </c>
      <c r="F508" s="7">
        <v>186600</v>
      </c>
      <c r="G508" s="7">
        <v>145000</v>
      </c>
      <c r="H508" s="7"/>
      <c r="I508" s="7">
        <f>dataset!$F508-dataset!$J508-dataset!$G508-dataset!$H508</f>
        <v>30000</v>
      </c>
      <c r="J508" s="7">
        <f>dataset!$G508*0.08</f>
        <v>11600</v>
      </c>
      <c r="K508" s="7">
        <f>dataset!$F508*12</f>
        <v>2239200</v>
      </c>
      <c r="L508" s="12">
        <f>IF(dataset!$G508&gt;=200000,38%,IF(dataset!$G508&lt;=145000,12.3%,))</f>
        <v>0.12300000000000001</v>
      </c>
      <c r="M508" s="7">
        <f>dataset!$G508*L509*12</f>
        <v>214020</v>
      </c>
      <c r="N50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08" s="7">
        <f>dataset!$K508+dataset!$M508</f>
        <v>2453220</v>
      </c>
      <c r="P508" s="7">
        <f>Payroll_Data_Analysis[[#This Row],[Annual Salary + KPI Bonus]]/12/29.3*31</f>
        <v>216296.41638225256</v>
      </c>
      <c r="Q508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508" s="7">
        <f>Payroll_Data_Analysis[[#This Row],[Monthly Salary]]*11</f>
        <v>2052600</v>
      </c>
      <c r="S508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508" s="7">
        <f>IF(Payroll_Data_Analysis[[#This Row],[Base Salary (Monthly)]]&gt;=200000,69507,IF(Payroll_Data_Analysis[[#This Row],[Base Salary (Monthly)]]&gt;=145000,52684,35103))</f>
        <v>52684</v>
      </c>
      <c r="U508" s="7">
        <f>Payroll_Data_Analysis[[#This Row],[Annual KPI Bonus Reserve]]+Payroll_Data_Analysis[[#This Row],[Vacation Reserve]]+Payroll_Data_Analysis[[#This Row],[11-Month Salary]]</f>
        <v>2482916.4163822527</v>
      </c>
      <c r="V508" s="7">
        <f>Payroll_Data_Analysis[[#This Row],[Payroll Taxes (KPI Bonus)]]+Payroll_Data_Analysis[[#This Row],[Payroll Taxes (Vacation)]]+Payroll_Data_Analysis[[#This Row],[Payroll Taxes (Salary)]]</f>
        <v>749840.75774744025</v>
      </c>
      <c r="W508" s="13">
        <f>Payroll_Data_Analysis[[#This Row],[Total Payroll]]+Payroll_Data_Analysis[[#This Row],[Total Payroll Taxes]]</f>
        <v>3232757.1741296928</v>
      </c>
    </row>
    <row r="509" spans="1:23">
      <c r="A509" s="11" t="s">
        <v>668</v>
      </c>
      <c r="B509" s="5" t="s">
        <v>512</v>
      </c>
      <c r="C509" s="18" t="s">
        <v>705</v>
      </c>
      <c r="D509" s="28" t="str">
        <f>VLOOKUP(Payroll_Data_Analysis[[#This Row],[Position]],Position_Map!$A$2:$B$58,2,FALSE)</f>
        <v>Professional</v>
      </c>
      <c r="E509" s="6">
        <v>1</v>
      </c>
      <c r="F509" s="7">
        <v>81000</v>
      </c>
      <c r="G509" s="7">
        <v>50000</v>
      </c>
      <c r="H509" s="7"/>
      <c r="I509" s="7">
        <f>dataset!$F509-dataset!$J509-dataset!$G509-dataset!$H509</f>
        <v>27000</v>
      </c>
      <c r="J509" s="7">
        <f>dataset!$G509*0.08</f>
        <v>4000</v>
      </c>
      <c r="K509" s="7">
        <f>dataset!$F509*12</f>
        <v>972000</v>
      </c>
      <c r="L509" s="12">
        <f>IF(dataset!$G509&gt;=200000,38%,IF(dataset!$G509&lt;=145000,12.3%,))</f>
        <v>0.12300000000000001</v>
      </c>
      <c r="M509" s="7">
        <f>dataset!$G509*L510*12</f>
        <v>228000</v>
      </c>
      <c r="N509" s="7">
        <f>IF(Payroll_Data_Analysis[[#This Row],[Annual KPI Bonus Reserve]]&lt;=2979000,Payroll_Data_Analysis[[#This Row],[Annual KPI Bonus Reserve]]*0.302,2979000*0.302+(Payroll_Data_Analysis[[#This Row],[Annual KPI Bonus Reserve]]-2979000)*0.151)</f>
        <v>68856</v>
      </c>
      <c r="O509" s="7">
        <f>dataset!$K509+dataset!$M509</f>
        <v>1200000</v>
      </c>
      <c r="P509" s="7">
        <f>Payroll_Data_Analysis[[#This Row],[Annual Salary + KPI Bonus]]/12/29.3*31</f>
        <v>105802.04778156996</v>
      </c>
      <c r="Q509" s="7">
        <f>IF(Payroll_Data_Analysis[[#This Row],[Vacation Reserve]]&lt;=2979000,Payroll_Data_Analysis[[#This Row],[Vacation Reserve]]*0.302,2979000*0.302+(Payroll_Data_Analysis[[#This Row],[Vacation Reserve]]-2979000)*0.151)</f>
        <v>31952.218430034125</v>
      </c>
      <c r="R509" s="7">
        <f>Payroll_Data_Analysis[[#This Row],[Monthly Salary]]*11</f>
        <v>891000</v>
      </c>
      <c r="S509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509" s="7">
        <f>IF(Payroll_Data_Analysis[[#This Row],[Base Salary (Monthly)]]&gt;=200000,69507,IF(Payroll_Data_Analysis[[#This Row],[Base Salary (Monthly)]]&gt;=145000,52684,35103))</f>
        <v>35103</v>
      </c>
      <c r="U509" s="7">
        <f>Payroll_Data_Analysis[[#This Row],[Annual KPI Bonus Reserve]]+Payroll_Data_Analysis[[#This Row],[Vacation Reserve]]+Payroll_Data_Analysis[[#This Row],[11-Month Salary]]</f>
        <v>1224802.0477815699</v>
      </c>
      <c r="V509" s="7">
        <f>Payroll_Data_Analysis[[#This Row],[Payroll Taxes (KPI Bonus)]]+Payroll_Data_Analysis[[#This Row],[Payroll Taxes (Vacation)]]+Payroll_Data_Analysis[[#This Row],[Payroll Taxes (Salary)]]</f>
        <v>369890.21843003412</v>
      </c>
      <c r="W509" s="13">
        <f>Payroll_Data_Analysis[[#This Row],[Total Payroll]]+Payroll_Data_Analysis[[#This Row],[Total Payroll Taxes]]</f>
        <v>1594692.266211604</v>
      </c>
    </row>
    <row r="510" spans="1:23">
      <c r="A510" s="11" t="s">
        <v>669</v>
      </c>
      <c r="B510" s="5" t="s">
        <v>513</v>
      </c>
      <c r="C510" s="18" t="s">
        <v>713</v>
      </c>
      <c r="D510" s="28" t="str">
        <f>VLOOKUP(Payroll_Data_Analysis[[#This Row],[Position]],Position_Map!$A$2:$B$58,2,FALSE)</f>
        <v>Management</v>
      </c>
      <c r="E510" s="6">
        <v>1</v>
      </c>
      <c r="F510" s="7">
        <v>376000</v>
      </c>
      <c r="G510" s="7">
        <v>200000</v>
      </c>
      <c r="H510" s="7"/>
      <c r="I510" s="7">
        <f>dataset!$F510-dataset!$J510-dataset!$G510-dataset!$H510</f>
        <v>160000</v>
      </c>
      <c r="J510" s="7">
        <f>dataset!$G510*0.08</f>
        <v>16000</v>
      </c>
      <c r="K510" s="7">
        <f>dataset!$F510*12</f>
        <v>4512000</v>
      </c>
      <c r="L510" s="12">
        <f>IF(dataset!$G510&gt;=200000,38%,IF(dataset!$G510&lt;=145000,12.3%,))</f>
        <v>0.38</v>
      </c>
      <c r="M510" s="7">
        <f>dataset!$G510*L511*12</f>
        <v>295200.00000000006</v>
      </c>
      <c r="N510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510" s="7">
        <f>dataset!$K510+dataset!$M510</f>
        <v>4807200</v>
      </c>
      <c r="P510" s="7">
        <f>Payroll_Data_Analysis[[#This Row],[Annual Salary + KPI Bonus]]/12/29.3*31</f>
        <v>423843.00341296924</v>
      </c>
      <c r="Q510" s="7">
        <f>IF(Payroll_Data_Analysis[[#This Row],[Vacation Reserve]]&lt;=2979000,Payroll_Data_Analysis[[#This Row],[Vacation Reserve]]*0.302,2979000*0.302+(Payroll_Data_Analysis[[#This Row],[Vacation Reserve]]-2979000)*0.151)</f>
        <v>128000.58703071671</v>
      </c>
      <c r="R510" s="7">
        <f>Payroll_Data_Analysis[[#This Row],[Monthly Salary]]*11</f>
        <v>4136000</v>
      </c>
      <c r="S510" s="7">
        <f>IF(Payroll_Data_Analysis[[#This Row],[11-Month Salary]]&lt;=2979000,Payroll_Data_Analysis[[#This Row],[11-Month Salary]]*0.302,2979000*0.302+(Payroll_Data_Analysis[[#This Row],[11-Month Salary]]-2979000)*0.151)</f>
        <v>1074365</v>
      </c>
      <c r="T510" s="7">
        <f>IF(Payroll_Data_Analysis[[#This Row],[Base Salary (Monthly)]]&gt;=200000,69507,IF(Payroll_Data_Analysis[[#This Row],[Base Salary (Monthly)]]&gt;=145000,52684,35103))</f>
        <v>69507</v>
      </c>
      <c r="U510" s="7">
        <f>Payroll_Data_Analysis[[#This Row],[Annual KPI Bonus Reserve]]+Payroll_Data_Analysis[[#This Row],[Vacation Reserve]]+Payroll_Data_Analysis[[#This Row],[11-Month Salary]]</f>
        <v>4855043.0034129694</v>
      </c>
      <c r="V510" s="7">
        <f>Payroll_Data_Analysis[[#This Row],[Payroll Taxes (KPI Bonus)]]+Payroll_Data_Analysis[[#This Row],[Payroll Taxes (Vacation)]]+Payroll_Data_Analysis[[#This Row],[Payroll Taxes (Salary)]]</f>
        <v>1291515.9870307166</v>
      </c>
      <c r="W510" s="13">
        <f>Payroll_Data_Analysis[[#This Row],[Total Payroll]]+Payroll_Data_Analysis[[#This Row],[Total Payroll Taxes]]</f>
        <v>6146558.990443686</v>
      </c>
    </row>
    <row r="511" spans="1:23">
      <c r="A511" s="11" t="s">
        <v>669</v>
      </c>
      <c r="B511" s="5" t="s">
        <v>514</v>
      </c>
      <c r="C511" s="18" t="s">
        <v>703</v>
      </c>
      <c r="D511" s="28" t="str">
        <f>VLOOKUP(Payroll_Data_Analysis[[#This Row],[Position]],Position_Map!$A$2:$B$58,2,FALSE)</f>
        <v>Management</v>
      </c>
      <c r="E511" s="6">
        <v>1</v>
      </c>
      <c r="F511" s="7">
        <v>221600</v>
      </c>
      <c r="G511" s="7">
        <v>145000</v>
      </c>
      <c r="H511" s="7"/>
      <c r="I511" s="7">
        <f>dataset!$F511-dataset!$J511-dataset!$G511-dataset!$H511</f>
        <v>65000</v>
      </c>
      <c r="J511" s="7">
        <f>dataset!$G511*0.08</f>
        <v>11600</v>
      </c>
      <c r="K511" s="7">
        <f>dataset!$F511*12</f>
        <v>2659200</v>
      </c>
      <c r="L511" s="12">
        <f>IF(dataset!$G511&gt;=200000,38%,IF(dataset!$G511&lt;=145000,12.3%,))</f>
        <v>0.12300000000000001</v>
      </c>
      <c r="M511" s="7">
        <f>dataset!$G511*L512*12</f>
        <v>214020</v>
      </c>
      <c r="N51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11" s="7">
        <f>dataset!$K511+dataset!$M511</f>
        <v>2873220</v>
      </c>
      <c r="P511" s="7">
        <f>Payroll_Data_Analysis[[#This Row],[Annual Salary + KPI Bonus]]/12/29.3*31</f>
        <v>253327.13310580203</v>
      </c>
      <c r="Q511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511" s="7">
        <f>Payroll_Data_Analysis[[#This Row],[Monthly Salary]]*11</f>
        <v>2437600</v>
      </c>
      <c r="S511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511" s="7">
        <f>IF(Payroll_Data_Analysis[[#This Row],[Base Salary (Monthly)]]&gt;=200000,69507,IF(Payroll_Data_Analysis[[#This Row],[Base Salary (Monthly)]]&gt;=145000,52684,35103))</f>
        <v>52684</v>
      </c>
      <c r="U511" s="7">
        <f>Payroll_Data_Analysis[[#This Row],[Annual KPI Bonus Reserve]]+Payroll_Data_Analysis[[#This Row],[Vacation Reserve]]+Payroll_Data_Analysis[[#This Row],[11-Month Salary]]</f>
        <v>2904947.1331058019</v>
      </c>
      <c r="V511" s="7">
        <f>Payroll_Data_Analysis[[#This Row],[Payroll Taxes (KPI Bonus)]]+Payroll_Data_Analysis[[#This Row],[Payroll Taxes (Vacation)]]+Payroll_Data_Analysis[[#This Row],[Payroll Taxes (Salary)]]</f>
        <v>877294.03419795213</v>
      </c>
      <c r="W511" s="13">
        <f>Payroll_Data_Analysis[[#This Row],[Total Payroll]]+Payroll_Data_Analysis[[#This Row],[Total Payroll Taxes]]</f>
        <v>3782241.167303754</v>
      </c>
    </row>
    <row r="512" spans="1:23">
      <c r="A512" s="11" t="s">
        <v>669</v>
      </c>
      <c r="B512" s="5" t="s">
        <v>515</v>
      </c>
      <c r="C512" s="18" t="s">
        <v>742</v>
      </c>
      <c r="D512" s="28" t="str">
        <f>VLOOKUP(Payroll_Data_Analysis[[#This Row],[Position]],Position_Map!$A$2:$B$58,2,FALSE)</f>
        <v>Management</v>
      </c>
      <c r="E512" s="6">
        <v>1</v>
      </c>
      <c r="F512" s="7">
        <v>124400</v>
      </c>
      <c r="G512" s="7">
        <v>100000</v>
      </c>
      <c r="H512" s="7"/>
      <c r="I512" s="7">
        <f>dataset!$F512-dataset!$J512-dataset!$G512-dataset!$H512</f>
        <v>16400</v>
      </c>
      <c r="J512" s="7">
        <f>dataset!$G512*0.08</f>
        <v>8000</v>
      </c>
      <c r="K512" s="7">
        <f>dataset!$F512*12</f>
        <v>1492800</v>
      </c>
      <c r="L512" s="12">
        <f>IF(dataset!$G512&gt;=200000,38%,IF(dataset!$G512&lt;=145000,12.3%,))</f>
        <v>0.12300000000000001</v>
      </c>
      <c r="M512" s="7">
        <f>dataset!$G512*L513*12</f>
        <v>147600.00000000003</v>
      </c>
      <c r="N512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12" s="7">
        <f>dataset!$K512+dataset!$M512</f>
        <v>1640400</v>
      </c>
      <c r="P512" s="7">
        <f>Payroll_Data_Analysis[[#This Row],[Annual Salary + KPI Bonus]]/12/29.3*31</f>
        <v>144631.39931740615</v>
      </c>
      <c r="Q512" s="7">
        <f>IF(Payroll_Data_Analysis[[#This Row],[Vacation Reserve]]&lt;=2979000,Payroll_Data_Analysis[[#This Row],[Vacation Reserve]]*0.302,2979000*0.302+(Payroll_Data_Analysis[[#This Row],[Vacation Reserve]]-2979000)*0.151)</f>
        <v>43678.682593856654</v>
      </c>
      <c r="R512" s="7">
        <f>Payroll_Data_Analysis[[#This Row],[Monthly Salary]]*11</f>
        <v>1368400</v>
      </c>
      <c r="S512" s="7">
        <f>IF(Payroll_Data_Analysis[[#This Row],[11-Month Salary]]&lt;=2979000,Payroll_Data_Analysis[[#This Row],[11-Month Salary]]*0.302,2979000*0.302+(Payroll_Data_Analysis[[#This Row],[11-Month Salary]]-2979000)*0.151)</f>
        <v>413256.8</v>
      </c>
      <c r="T512" s="7">
        <f>IF(Payroll_Data_Analysis[[#This Row],[Base Salary (Monthly)]]&gt;=200000,69507,IF(Payroll_Data_Analysis[[#This Row],[Base Salary (Monthly)]]&gt;=145000,52684,35103))</f>
        <v>35103</v>
      </c>
      <c r="U512" s="7">
        <f>Payroll_Data_Analysis[[#This Row],[Annual KPI Bonus Reserve]]+Payroll_Data_Analysis[[#This Row],[Vacation Reserve]]+Payroll_Data_Analysis[[#This Row],[11-Month Salary]]</f>
        <v>1660631.3993174061</v>
      </c>
      <c r="V512" s="7">
        <f>Payroll_Data_Analysis[[#This Row],[Payroll Taxes (KPI Bonus)]]+Payroll_Data_Analysis[[#This Row],[Payroll Taxes (Vacation)]]+Payroll_Data_Analysis[[#This Row],[Payroll Taxes (Salary)]]</f>
        <v>501510.68259385665</v>
      </c>
      <c r="W512" s="13">
        <f>Payroll_Data_Analysis[[#This Row],[Total Payroll]]+Payroll_Data_Analysis[[#This Row],[Total Payroll Taxes]]</f>
        <v>2162142.0819112626</v>
      </c>
    </row>
    <row r="513" spans="1:23">
      <c r="A513" s="11" t="s">
        <v>669</v>
      </c>
      <c r="B513" s="5" t="s">
        <v>516</v>
      </c>
      <c r="C513" s="18" t="s">
        <v>705</v>
      </c>
      <c r="D513" s="28" t="str">
        <f>VLOOKUP(Payroll_Data_Analysis[[#This Row],[Position]],Position_Map!$A$2:$B$58,2,FALSE)</f>
        <v>Professional</v>
      </c>
      <c r="E513" s="6">
        <v>1</v>
      </c>
      <c r="F513" s="7">
        <v>81000</v>
      </c>
      <c r="G513" s="7">
        <v>60000</v>
      </c>
      <c r="H513" s="7"/>
      <c r="I513" s="7">
        <f>dataset!$F513-dataset!$J513-dataset!$G513-dataset!$H513</f>
        <v>16200</v>
      </c>
      <c r="J513" s="7">
        <f>dataset!$G513*0.08</f>
        <v>4800</v>
      </c>
      <c r="K513" s="7">
        <f>dataset!$F513*12</f>
        <v>972000</v>
      </c>
      <c r="L513" s="12">
        <f>IF(dataset!$G513&gt;=200000,38%,IF(dataset!$G513&lt;=145000,12.3%,))</f>
        <v>0.12300000000000001</v>
      </c>
      <c r="M513" s="7">
        <f>dataset!$G513*L514*12</f>
        <v>88560.000000000015</v>
      </c>
      <c r="N51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13" s="7">
        <f>dataset!$K513+dataset!$M513</f>
        <v>1060560</v>
      </c>
      <c r="P513" s="7">
        <f>Payroll_Data_Analysis[[#This Row],[Annual Salary + KPI Bonus]]/12/29.3*31</f>
        <v>93507.849829351544</v>
      </c>
      <c r="Q513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513" s="7">
        <f>Payroll_Data_Analysis[[#This Row],[Monthly Salary]]*11</f>
        <v>891000</v>
      </c>
      <c r="S513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513" s="7">
        <f>IF(Payroll_Data_Analysis[[#This Row],[Base Salary (Monthly)]]&gt;=200000,69507,IF(Payroll_Data_Analysis[[#This Row],[Base Salary (Monthly)]]&gt;=145000,52684,35103))</f>
        <v>35103</v>
      </c>
      <c r="U513" s="7">
        <f>Payroll_Data_Analysis[[#This Row],[Annual KPI Bonus Reserve]]+Payroll_Data_Analysis[[#This Row],[Vacation Reserve]]+Payroll_Data_Analysis[[#This Row],[11-Month Salary]]</f>
        <v>1073067.8498293515</v>
      </c>
      <c r="V513" s="7">
        <f>Payroll_Data_Analysis[[#This Row],[Payroll Taxes (KPI Bonus)]]+Payroll_Data_Analysis[[#This Row],[Payroll Taxes (Vacation)]]+Payroll_Data_Analysis[[#This Row],[Payroll Taxes (Salary)]]</f>
        <v>324066.49064846418</v>
      </c>
      <c r="W513" s="13">
        <f>Payroll_Data_Analysis[[#This Row],[Total Payroll]]+Payroll_Data_Analysis[[#This Row],[Total Payroll Taxes]]</f>
        <v>1397134.3404778158</v>
      </c>
    </row>
    <row r="514" spans="1:23">
      <c r="A514" s="11" t="s">
        <v>669</v>
      </c>
      <c r="B514" s="5" t="s">
        <v>517</v>
      </c>
      <c r="C514" s="18" t="s">
        <v>705</v>
      </c>
      <c r="D514" s="28" t="str">
        <f>VLOOKUP(Payroll_Data_Analysis[[#This Row],[Position]],Position_Map!$A$2:$B$58,2,FALSE)</f>
        <v>Professional</v>
      </c>
      <c r="E514" s="6">
        <v>1</v>
      </c>
      <c r="F514" s="7">
        <v>81000</v>
      </c>
      <c r="G514" s="7">
        <v>60000</v>
      </c>
      <c r="H514" s="7"/>
      <c r="I514" s="7">
        <f>dataset!$F514-dataset!$J514-dataset!$G514-dataset!$H514</f>
        <v>16200</v>
      </c>
      <c r="J514" s="7">
        <f>dataset!$G514*0.08</f>
        <v>4800</v>
      </c>
      <c r="K514" s="7">
        <f>dataset!$F514*12</f>
        <v>972000</v>
      </c>
      <c r="L514" s="12">
        <f>IF(dataset!$G514&gt;=200000,38%,IF(dataset!$G514&lt;=145000,12.3%,))</f>
        <v>0.12300000000000001</v>
      </c>
      <c r="M514" s="7">
        <f>dataset!$G514*L515*12</f>
        <v>88560.000000000015</v>
      </c>
      <c r="N51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14" s="7">
        <f>dataset!$K514+dataset!$M514</f>
        <v>1060560</v>
      </c>
      <c r="P514" s="7">
        <f>Payroll_Data_Analysis[[#This Row],[Annual Salary + KPI Bonus]]/12/29.3*31</f>
        <v>93507.849829351544</v>
      </c>
      <c r="Q514" s="7">
        <f>IF(Payroll_Data_Analysis[[#This Row],[Vacation Reserve]]&lt;=2979000,Payroll_Data_Analysis[[#This Row],[Vacation Reserve]]*0.302,2979000*0.302+(Payroll_Data_Analysis[[#This Row],[Vacation Reserve]]-2979000)*0.151)</f>
        <v>28239.370648464166</v>
      </c>
      <c r="R514" s="7">
        <f>Payroll_Data_Analysis[[#This Row],[Monthly Salary]]*11</f>
        <v>891000</v>
      </c>
      <c r="S514" s="7">
        <f>IF(Payroll_Data_Analysis[[#This Row],[11-Month Salary]]&lt;=2979000,Payroll_Data_Analysis[[#This Row],[11-Month Salary]]*0.302,2979000*0.302+(Payroll_Data_Analysis[[#This Row],[11-Month Salary]]-2979000)*0.151)</f>
        <v>269082</v>
      </c>
      <c r="T514" s="7">
        <f>IF(Payroll_Data_Analysis[[#This Row],[Base Salary (Monthly)]]&gt;=200000,69507,IF(Payroll_Data_Analysis[[#This Row],[Base Salary (Monthly)]]&gt;=145000,52684,35103))</f>
        <v>35103</v>
      </c>
      <c r="U514" s="7">
        <f>Payroll_Data_Analysis[[#This Row],[Annual KPI Bonus Reserve]]+Payroll_Data_Analysis[[#This Row],[Vacation Reserve]]+Payroll_Data_Analysis[[#This Row],[11-Month Salary]]</f>
        <v>1073067.8498293515</v>
      </c>
      <c r="V514" s="7">
        <f>Payroll_Data_Analysis[[#This Row],[Payroll Taxes (KPI Bonus)]]+Payroll_Data_Analysis[[#This Row],[Payroll Taxes (Vacation)]]+Payroll_Data_Analysis[[#This Row],[Payroll Taxes (Salary)]]</f>
        <v>324066.49064846418</v>
      </c>
      <c r="W514" s="13">
        <f>Payroll_Data_Analysis[[#This Row],[Total Payroll]]+Payroll_Data_Analysis[[#This Row],[Total Payroll Taxes]]</f>
        <v>1397134.3404778158</v>
      </c>
    </row>
    <row r="515" spans="1:23">
      <c r="A515" s="11" t="s">
        <v>669</v>
      </c>
      <c r="B515" s="5" t="s">
        <v>518</v>
      </c>
      <c r="C515" s="18" t="s">
        <v>743</v>
      </c>
      <c r="D515" s="28" t="s">
        <v>756</v>
      </c>
      <c r="E515" s="6">
        <v>1</v>
      </c>
      <c r="F515" s="7">
        <v>178000</v>
      </c>
      <c r="G515" s="7">
        <v>100000</v>
      </c>
      <c r="H515" s="7"/>
      <c r="I515" s="7">
        <f>dataset!$F515-dataset!$J515-dataset!$G515-dataset!$H515</f>
        <v>70000</v>
      </c>
      <c r="J515" s="7">
        <f>dataset!$G515*0.08</f>
        <v>8000</v>
      </c>
      <c r="K515" s="7">
        <f>dataset!$F515*12</f>
        <v>2136000</v>
      </c>
      <c r="L515" s="12">
        <f>IF(dataset!$G515&gt;=200000,38%,IF(dataset!$G515&lt;=145000,12.3%,))</f>
        <v>0.12300000000000001</v>
      </c>
      <c r="M515" s="7">
        <f>dataset!$G515*L516*12</f>
        <v>147600.00000000003</v>
      </c>
      <c r="N51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15" s="7">
        <f>dataset!$K515+dataset!$M515</f>
        <v>2283600</v>
      </c>
      <c r="P515" s="7">
        <f>Payroll_Data_Analysis[[#This Row],[Annual Salary + KPI Bonus]]/12/29.3*31</f>
        <v>201341.29692832765</v>
      </c>
      <c r="Q515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515" s="7">
        <f>Payroll_Data_Analysis[[#This Row],[Monthly Salary]]*11</f>
        <v>1958000</v>
      </c>
      <c r="S515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515" s="7">
        <f>IF(Payroll_Data_Analysis[[#This Row],[Base Salary (Monthly)]]&gt;=200000,69507,IF(Payroll_Data_Analysis[[#This Row],[Base Salary (Monthly)]]&gt;=145000,52684,35103))</f>
        <v>35103</v>
      </c>
      <c r="U515" s="7">
        <f>Payroll_Data_Analysis[[#This Row],[Annual KPI Bonus Reserve]]+Payroll_Data_Analysis[[#This Row],[Vacation Reserve]]+Payroll_Data_Analysis[[#This Row],[11-Month Salary]]</f>
        <v>2306941.2969283275</v>
      </c>
      <c r="V515" s="7">
        <f>Payroll_Data_Analysis[[#This Row],[Payroll Taxes (KPI Bonus)]]+Payroll_Data_Analysis[[#This Row],[Payroll Taxes (Vacation)]]+Payroll_Data_Analysis[[#This Row],[Payroll Taxes (Salary)]]</f>
        <v>696696.27167235501</v>
      </c>
      <c r="W515" s="13">
        <f>Payroll_Data_Analysis[[#This Row],[Total Payroll]]+Payroll_Data_Analysis[[#This Row],[Total Payroll Taxes]]</f>
        <v>3003637.5686006825</v>
      </c>
    </row>
    <row r="516" spans="1:23">
      <c r="A516" s="11" t="s">
        <v>669</v>
      </c>
      <c r="B516" s="5" t="s">
        <v>519</v>
      </c>
      <c r="C516" s="18" t="s">
        <v>708</v>
      </c>
      <c r="D516" s="28" t="str">
        <f>VLOOKUP(Payroll_Data_Analysis[[#This Row],[Position]],Position_Map!$A$2:$B$58,2,FALSE)</f>
        <v>Professional</v>
      </c>
      <c r="E516" s="6">
        <v>1</v>
      </c>
      <c r="F516" s="7">
        <v>231600</v>
      </c>
      <c r="G516" s="7">
        <v>145000</v>
      </c>
      <c r="H516" s="7"/>
      <c r="I516" s="7">
        <f>dataset!$F516-dataset!$J516-dataset!$G516-dataset!$H516</f>
        <v>75000</v>
      </c>
      <c r="J516" s="7">
        <f>dataset!$G516*0.08</f>
        <v>11600</v>
      </c>
      <c r="K516" s="7">
        <f>dataset!$F516*12</f>
        <v>2779200</v>
      </c>
      <c r="L516" s="12">
        <f>IF(dataset!$G516&gt;=200000,38%,IF(dataset!$G516&lt;=145000,12.3%,))</f>
        <v>0.12300000000000001</v>
      </c>
      <c r="M516" s="7">
        <f>dataset!$G516*L517*12</f>
        <v>214020</v>
      </c>
      <c r="N51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16" s="7">
        <f>dataset!$K516+dataset!$M516</f>
        <v>2993220</v>
      </c>
      <c r="P516" s="7">
        <f>Payroll_Data_Analysis[[#This Row],[Annual Salary + KPI Bonus]]/12/29.3*31</f>
        <v>263907.33788395906</v>
      </c>
      <c r="Q516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516" s="7">
        <f>Payroll_Data_Analysis[[#This Row],[Monthly Salary]]*11</f>
        <v>2547600</v>
      </c>
      <c r="S516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516" s="7">
        <f>IF(Payroll_Data_Analysis[[#This Row],[Base Salary (Monthly)]]&gt;=200000,69507,IF(Payroll_Data_Analysis[[#This Row],[Base Salary (Monthly)]]&gt;=145000,52684,35103))</f>
        <v>52684</v>
      </c>
      <c r="U516" s="7">
        <f>Payroll_Data_Analysis[[#This Row],[Annual KPI Bonus Reserve]]+Payroll_Data_Analysis[[#This Row],[Vacation Reserve]]+Payroll_Data_Analysis[[#This Row],[11-Month Salary]]</f>
        <v>3025527.3378839591</v>
      </c>
      <c r="V516" s="7">
        <f>Payroll_Data_Analysis[[#This Row],[Payroll Taxes (KPI Bonus)]]+Payroll_Data_Analysis[[#This Row],[Payroll Taxes (Vacation)]]+Payroll_Data_Analysis[[#This Row],[Payroll Taxes (Salary)]]</f>
        <v>913709.25604095554</v>
      </c>
      <c r="W516" s="13">
        <f>Payroll_Data_Analysis[[#This Row],[Total Payroll]]+Payroll_Data_Analysis[[#This Row],[Total Payroll Taxes]]</f>
        <v>3939236.5939249145</v>
      </c>
    </row>
    <row r="517" spans="1:23">
      <c r="A517" s="11" t="s">
        <v>669</v>
      </c>
      <c r="B517" s="5" t="s">
        <v>520</v>
      </c>
      <c r="C517" s="18" t="s">
        <v>708</v>
      </c>
      <c r="D517" s="28" t="str">
        <f>VLOOKUP(Payroll_Data_Analysis[[#This Row],[Position]],Position_Map!$A$2:$B$58,2,FALSE)</f>
        <v>Professional</v>
      </c>
      <c r="E517" s="6">
        <v>1</v>
      </c>
      <c r="F517" s="7">
        <v>186600</v>
      </c>
      <c r="G517" s="7">
        <v>145000</v>
      </c>
      <c r="H517" s="7"/>
      <c r="I517" s="7">
        <f>dataset!$F517-dataset!$J517-dataset!$G517-dataset!$H517</f>
        <v>30000</v>
      </c>
      <c r="J517" s="7">
        <f>dataset!$G517*0.08</f>
        <v>11600</v>
      </c>
      <c r="K517" s="7">
        <f>dataset!$F517*12</f>
        <v>2239200</v>
      </c>
      <c r="L517" s="12">
        <f>IF(dataset!$G517&gt;=200000,38%,IF(dataset!$G517&lt;=145000,12.3%,))</f>
        <v>0.12300000000000001</v>
      </c>
      <c r="M517" s="7">
        <f>dataset!$G517*L518*12</f>
        <v>214020</v>
      </c>
      <c r="N51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17" s="7">
        <f>dataset!$K517+dataset!$M517</f>
        <v>2453220</v>
      </c>
      <c r="P517" s="7">
        <f>Payroll_Data_Analysis[[#This Row],[Annual Salary + KPI Bonus]]/12/29.3*31</f>
        <v>216296.41638225256</v>
      </c>
      <c r="Q517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517" s="7">
        <f>Payroll_Data_Analysis[[#This Row],[Monthly Salary]]*11</f>
        <v>2052600</v>
      </c>
      <c r="S517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517" s="7">
        <f>IF(Payroll_Data_Analysis[[#This Row],[Base Salary (Monthly)]]&gt;=200000,69507,IF(Payroll_Data_Analysis[[#This Row],[Base Salary (Monthly)]]&gt;=145000,52684,35103))</f>
        <v>52684</v>
      </c>
      <c r="U517" s="7">
        <f>Payroll_Data_Analysis[[#This Row],[Annual KPI Bonus Reserve]]+Payroll_Data_Analysis[[#This Row],[Vacation Reserve]]+Payroll_Data_Analysis[[#This Row],[11-Month Salary]]</f>
        <v>2482916.4163822527</v>
      </c>
      <c r="V517" s="7">
        <f>Payroll_Data_Analysis[[#This Row],[Payroll Taxes (KPI Bonus)]]+Payroll_Data_Analysis[[#This Row],[Payroll Taxes (Vacation)]]+Payroll_Data_Analysis[[#This Row],[Payroll Taxes (Salary)]]</f>
        <v>749840.75774744025</v>
      </c>
      <c r="W517" s="13">
        <f>Payroll_Data_Analysis[[#This Row],[Total Payroll]]+Payroll_Data_Analysis[[#This Row],[Total Payroll Taxes]]</f>
        <v>3232757.1741296928</v>
      </c>
    </row>
    <row r="518" spans="1:23">
      <c r="A518" s="11" t="s">
        <v>669</v>
      </c>
      <c r="B518" s="5" t="s">
        <v>521</v>
      </c>
      <c r="C518" s="18" t="s">
        <v>705</v>
      </c>
      <c r="D518" s="28" t="str">
        <f>VLOOKUP(Payroll_Data_Analysis[[#This Row],[Position]],Position_Map!$A$2:$B$58,2,FALSE)</f>
        <v>Professional</v>
      </c>
      <c r="E518" s="6">
        <v>1</v>
      </c>
      <c r="F518" s="7">
        <v>96800</v>
      </c>
      <c r="G518" s="7">
        <v>80000</v>
      </c>
      <c r="H518" s="7"/>
      <c r="I518" s="7">
        <f>dataset!$F518-dataset!$J518-dataset!$G518-dataset!$H518</f>
        <v>10400</v>
      </c>
      <c r="J518" s="7">
        <f>dataset!$G518*0.08</f>
        <v>6400</v>
      </c>
      <c r="K518" s="7">
        <f>dataset!$F518*12</f>
        <v>1161600</v>
      </c>
      <c r="L518" s="12">
        <f>IF(dataset!$G518&gt;=200000,38%,IF(dataset!$G518&lt;=145000,12.3%,))</f>
        <v>0.12300000000000001</v>
      </c>
      <c r="M518" s="7">
        <f>dataset!$G518*L519*12</f>
        <v>118080.00000000003</v>
      </c>
      <c r="N51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18" s="7">
        <f>dataset!$K518+dataset!$M518</f>
        <v>1279680</v>
      </c>
      <c r="P518" s="7">
        <f>Payroll_Data_Analysis[[#This Row],[Annual Salary + KPI Bonus]]/12/29.3*31</f>
        <v>112827.30375426622</v>
      </c>
      <c r="Q518" s="7">
        <f>IF(Payroll_Data_Analysis[[#This Row],[Vacation Reserve]]&lt;=2979000,Payroll_Data_Analysis[[#This Row],[Vacation Reserve]]*0.302,2979000*0.302+(Payroll_Data_Analysis[[#This Row],[Vacation Reserve]]-2979000)*0.151)</f>
        <v>34073.845733788396</v>
      </c>
      <c r="R518" s="7">
        <f>Payroll_Data_Analysis[[#This Row],[Monthly Salary]]*11</f>
        <v>1064800</v>
      </c>
      <c r="S518" s="7">
        <f>IF(Payroll_Data_Analysis[[#This Row],[11-Month Salary]]&lt;=2979000,Payroll_Data_Analysis[[#This Row],[11-Month Salary]]*0.302,2979000*0.302+(Payroll_Data_Analysis[[#This Row],[11-Month Salary]]-2979000)*0.151)</f>
        <v>321569.59999999998</v>
      </c>
      <c r="T518" s="7">
        <f>IF(Payroll_Data_Analysis[[#This Row],[Base Salary (Monthly)]]&gt;=200000,69507,IF(Payroll_Data_Analysis[[#This Row],[Base Salary (Monthly)]]&gt;=145000,52684,35103))</f>
        <v>35103</v>
      </c>
      <c r="U518" s="7">
        <f>Payroll_Data_Analysis[[#This Row],[Annual KPI Bonus Reserve]]+Payroll_Data_Analysis[[#This Row],[Vacation Reserve]]+Payroll_Data_Analysis[[#This Row],[11-Month Salary]]</f>
        <v>1295707.3037542664</v>
      </c>
      <c r="V518" s="7">
        <f>Payroll_Data_Analysis[[#This Row],[Payroll Taxes (KPI Bonus)]]+Payroll_Data_Analysis[[#This Row],[Payroll Taxes (Vacation)]]+Payroll_Data_Analysis[[#This Row],[Payroll Taxes (Salary)]]</f>
        <v>391303.6057337884</v>
      </c>
      <c r="W518" s="13">
        <f>Payroll_Data_Analysis[[#This Row],[Total Payroll]]+Payroll_Data_Analysis[[#This Row],[Total Payroll Taxes]]</f>
        <v>1687010.9094880547</v>
      </c>
    </row>
    <row r="519" spans="1:23">
      <c r="A519" s="11" t="s">
        <v>669</v>
      </c>
      <c r="B519" s="5" t="s">
        <v>522</v>
      </c>
      <c r="C519" s="18" t="s">
        <v>705</v>
      </c>
      <c r="D519" s="28" t="str">
        <f>VLOOKUP(Payroll_Data_Analysis[[#This Row],[Position]],Position_Map!$A$2:$B$58,2,FALSE)</f>
        <v>Professional</v>
      </c>
      <c r="E519" s="6">
        <v>1</v>
      </c>
      <c r="F519" s="7">
        <v>118400</v>
      </c>
      <c r="G519" s="7">
        <v>80000</v>
      </c>
      <c r="H519" s="7"/>
      <c r="I519" s="7">
        <f>dataset!$F519-dataset!$J519-dataset!$G519-dataset!$H519</f>
        <v>32000</v>
      </c>
      <c r="J519" s="7">
        <f>dataset!$G519*0.08</f>
        <v>6400</v>
      </c>
      <c r="K519" s="7">
        <f>dataset!$F519*12</f>
        <v>1420800</v>
      </c>
      <c r="L519" s="12">
        <f>IF(dataset!$G519&gt;=200000,38%,IF(dataset!$G519&lt;=145000,12.3%,))</f>
        <v>0.12300000000000001</v>
      </c>
      <c r="M519" s="7">
        <f>dataset!$G519*L520*12</f>
        <v>118080.00000000003</v>
      </c>
      <c r="N519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19" s="7">
        <f>dataset!$K519+dataset!$M519</f>
        <v>1538880</v>
      </c>
      <c r="P519" s="7">
        <f>Payroll_Data_Analysis[[#This Row],[Annual Salary + KPI Bonus]]/12/29.3*31</f>
        <v>135680.54607508532</v>
      </c>
      <c r="Q519" s="7">
        <f>IF(Payroll_Data_Analysis[[#This Row],[Vacation Reserve]]&lt;=2979000,Payroll_Data_Analysis[[#This Row],[Vacation Reserve]]*0.302,2979000*0.302+(Payroll_Data_Analysis[[#This Row],[Vacation Reserve]]-2979000)*0.151)</f>
        <v>40975.524914675763</v>
      </c>
      <c r="R519" s="7">
        <f>Payroll_Data_Analysis[[#This Row],[Monthly Salary]]*11</f>
        <v>1302400</v>
      </c>
      <c r="S519" s="7">
        <f>IF(Payroll_Data_Analysis[[#This Row],[11-Month Salary]]&lt;=2979000,Payroll_Data_Analysis[[#This Row],[11-Month Salary]]*0.302,2979000*0.302+(Payroll_Data_Analysis[[#This Row],[11-Month Salary]]-2979000)*0.151)</f>
        <v>393324.79999999999</v>
      </c>
      <c r="T519" s="7">
        <f>IF(Payroll_Data_Analysis[[#This Row],[Base Salary (Monthly)]]&gt;=200000,69507,IF(Payroll_Data_Analysis[[#This Row],[Base Salary (Monthly)]]&gt;=145000,52684,35103))</f>
        <v>35103</v>
      </c>
      <c r="U519" s="7">
        <f>Payroll_Data_Analysis[[#This Row],[Annual KPI Bonus Reserve]]+Payroll_Data_Analysis[[#This Row],[Vacation Reserve]]+Payroll_Data_Analysis[[#This Row],[11-Month Salary]]</f>
        <v>1556160.5460750854</v>
      </c>
      <c r="V519" s="7">
        <f>Payroll_Data_Analysis[[#This Row],[Payroll Taxes (KPI Bonus)]]+Payroll_Data_Analysis[[#This Row],[Payroll Taxes (Vacation)]]+Payroll_Data_Analysis[[#This Row],[Payroll Taxes (Salary)]]</f>
        <v>469960.48491467576</v>
      </c>
      <c r="W519" s="13">
        <f>Payroll_Data_Analysis[[#This Row],[Total Payroll]]+Payroll_Data_Analysis[[#This Row],[Total Payroll Taxes]]</f>
        <v>2026121.0309897612</v>
      </c>
    </row>
    <row r="520" spans="1:23">
      <c r="A520" s="11" t="s">
        <v>669</v>
      </c>
      <c r="B520" s="5" t="s">
        <v>523</v>
      </c>
      <c r="C520" s="18" t="s">
        <v>705</v>
      </c>
      <c r="D520" s="28" t="str">
        <f>VLOOKUP(Payroll_Data_Analysis[[#This Row],[Position]],Position_Map!$A$2:$B$58,2,FALSE)</f>
        <v>Professional</v>
      </c>
      <c r="E520" s="6">
        <v>1</v>
      </c>
      <c r="F520" s="7">
        <v>118400</v>
      </c>
      <c r="G520" s="7">
        <v>80000</v>
      </c>
      <c r="H520" s="7"/>
      <c r="I520" s="7">
        <f>dataset!$F520-dataset!$J520-dataset!$G520-dataset!$H520</f>
        <v>32000</v>
      </c>
      <c r="J520" s="7">
        <f>dataset!$G520*0.08</f>
        <v>6400</v>
      </c>
      <c r="K520" s="7">
        <f>dataset!$F520*12</f>
        <v>1420800</v>
      </c>
      <c r="L520" s="12">
        <f>IF(dataset!$G520&gt;=200000,38%,IF(dataset!$G520&lt;=145000,12.3%,))</f>
        <v>0.12300000000000001</v>
      </c>
      <c r="M520" s="7">
        <f>dataset!$G520*L521*12</f>
        <v>118080.00000000003</v>
      </c>
      <c r="N520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20" s="7">
        <f>dataset!$K520+dataset!$M520</f>
        <v>1538880</v>
      </c>
      <c r="P520" s="7">
        <f>Payroll_Data_Analysis[[#This Row],[Annual Salary + KPI Bonus]]/12/29.3*31</f>
        <v>135680.54607508532</v>
      </c>
      <c r="Q520" s="7">
        <f>IF(Payroll_Data_Analysis[[#This Row],[Vacation Reserve]]&lt;=2979000,Payroll_Data_Analysis[[#This Row],[Vacation Reserve]]*0.302,2979000*0.302+(Payroll_Data_Analysis[[#This Row],[Vacation Reserve]]-2979000)*0.151)</f>
        <v>40975.524914675763</v>
      </c>
      <c r="R520" s="7">
        <f>Payroll_Data_Analysis[[#This Row],[Monthly Salary]]*11</f>
        <v>1302400</v>
      </c>
      <c r="S520" s="7">
        <f>IF(Payroll_Data_Analysis[[#This Row],[11-Month Salary]]&lt;=2979000,Payroll_Data_Analysis[[#This Row],[11-Month Salary]]*0.302,2979000*0.302+(Payroll_Data_Analysis[[#This Row],[11-Month Salary]]-2979000)*0.151)</f>
        <v>393324.79999999999</v>
      </c>
      <c r="T520" s="7">
        <f>IF(Payroll_Data_Analysis[[#This Row],[Base Salary (Monthly)]]&gt;=200000,69507,IF(Payroll_Data_Analysis[[#This Row],[Base Salary (Monthly)]]&gt;=145000,52684,35103))</f>
        <v>35103</v>
      </c>
      <c r="U520" s="7">
        <f>Payroll_Data_Analysis[[#This Row],[Annual KPI Bonus Reserve]]+Payroll_Data_Analysis[[#This Row],[Vacation Reserve]]+Payroll_Data_Analysis[[#This Row],[11-Month Salary]]</f>
        <v>1556160.5460750854</v>
      </c>
      <c r="V520" s="7">
        <f>Payroll_Data_Analysis[[#This Row],[Payroll Taxes (KPI Bonus)]]+Payroll_Data_Analysis[[#This Row],[Payroll Taxes (Vacation)]]+Payroll_Data_Analysis[[#This Row],[Payroll Taxes (Salary)]]</f>
        <v>469960.48491467576</v>
      </c>
      <c r="W520" s="13">
        <f>Payroll_Data_Analysis[[#This Row],[Total Payroll]]+Payroll_Data_Analysis[[#This Row],[Total Payroll Taxes]]</f>
        <v>2026121.0309897612</v>
      </c>
    </row>
    <row r="521" spans="1:23">
      <c r="A521" s="11" t="s">
        <v>669</v>
      </c>
      <c r="B521" s="5" t="s">
        <v>524</v>
      </c>
      <c r="C521" s="18" t="s">
        <v>705</v>
      </c>
      <c r="D521" s="28" t="str">
        <f>VLOOKUP(Payroll_Data_Analysis[[#This Row],[Position]],Position_Map!$A$2:$B$58,2,FALSE)</f>
        <v>Professional</v>
      </c>
      <c r="E521" s="6">
        <v>1</v>
      </c>
      <c r="F521" s="7">
        <v>76000</v>
      </c>
      <c r="G521" s="7">
        <v>60000</v>
      </c>
      <c r="H521" s="7"/>
      <c r="I521" s="7">
        <f>dataset!$F521-dataset!$J521-dataset!$G521-dataset!$H521</f>
        <v>11200</v>
      </c>
      <c r="J521" s="7">
        <f>dataset!$G521*0.08</f>
        <v>4800</v>
      </c>
      <c r="K521" s="7">
        <f>dataset!$F521*12</f>
        <v>912000</v>
      </c>
      <c r="L521" s="12">
        <f>IF(dataset!$G521&gt;=200000,38%,IF(dataset!$G521&lt;=145000,12.3%,))</f>
        <v>0.12300000000000001</v>
      </c>
      <c r="M521" s="7">
        <f>dataset!$G521*L522*12</f>
        <v>88560.000000000015</v>
      </c>
      <c r="N52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21" s="7">
        <f>dataset!$K521+dataset!$M521</f>
        <v>1000560</v>
      </c>
      <c r="P521" s="7">
        <f>Payroll_Data_Analysis[[#This Row],[Annual Salary + KPI Bonus]]/12/29.3*31</f>
        <v>88217.747440273029</v>
      </c>
      <c r="Q521" s="7">
        <f>IF(Payroll_Data_Analysis[[#This Row],[Vacation Reserve]]&lt;=2979000,Payroll_Data_Analysis[[#This Row],[Vacation Reserve]]*0.302,2979000*0.302+(Payroll_Data_Analysis[[#This Row],[Vacation Reserve]]-2979000)*0.151)</f>
        <v>26641.759726962453</v>
      </c>
      <c r="R521" s="7">
        <f>Payroll_Data_Analysis[[#This Row],[Monthly Salary]]*11</f>
        <v>836000</v>
      </c>
      <c r="S521" s="7">
        <f>IF(Payroll_Data_Analysis[[#This Row],[11-Month Salary]]&lt;=2979000,Payroll_Data_Analysis[[#This Row],[11-Month Salary]]*0.302,2979000*0.302+(Payroll_Data_Analysis[[#This Row],[11-Month Salary]]-2979000)*0.151)</f>
        <v>252472</v>
      </c>
      <c r="T521" s="7">
        <f>IF(Payroll_Data_Analysis[[#This Row],[Base Salary (Monthly)]]&gt;=200000,69507,IF(Payroll_Data_Analysis[[#This Row],[Base Salary (Monthly)]]&gt;=145000,52684,35103))</f>
        <v>35103</v>
      </c>
      <c r="U521" s="7">
        <f>Payroll_Data_Analysis[[#This Row],[Annual KPI Bonus Reserve]]+Payroll_Data_Analysis[[#This Row],[Vacation Reserve]]+Payroll_Data_Analysis[[#This Row],[11-Month Salary]]</f>
        <v>1012777.7474402731</v>
      </c>
      <c r="V521" s="7">
        <f>Payroll_Data_Analysis[[#This Row],[Payroll Taxes (KPI Bonus)]]+Payroll_Data_Analysis[[#This Row],[Payroll Taxes (Vacation)]]+Payroll_Data_Analysis[[#This Row],[Payroll Taxes (Salary)]]</f>
        <v>305858.87972696248</v>
      </c>
      <c r="W521" s="13">
        <f>Payroll_Data_Analysis[[#This Row],[Total Payroll]]+Payroll_Data_Analysis[[#This Row],[Total Payroll Taxes]]</f>
        <v>1318636.6271672356</v>
      </c>
    </row>
    <row r="522" spans="1:23">
      <c r="A522" s="11" t="s">
        <v>669</v>
      </c>
      <c r="B522" s="5" t="s">
        <v>525</v>
      </c>
      <c r="C522" s="18" t="s">
        <v>705</v>
      </c>
      <c r="D522" s="28" t="str">
        <f>VLOOKUP(Payroll_Data_Analysis[[#This Row],[Position]],Position_Map!$A$2:$B$58,2,FALSE)</f>
        <v>Professional</v>
      </c>
      <c r="E522" s="6">
        <v>1</v>
      </c>
      <c r="F522" s="7">
        <v>54100</v>
      </c>
      <c r="G522" s="7">
        <v>30000</v>
      </c>
      <c r="H522" s="7"/>
      <c r="I522" s="7">
        <f>dataset!$F522-dataset!$J522-dataset!$G522-dataset!$H522</f>
        <v>21700</v>
      </c>
      <c r="J522" s="7">
        <f>dataset!$G522*0.08</f>
        <v>2400</v>
      </c>
      <c r="K522" s="7">
        <f>dataset!$F522*12</f>
        <v>649200</v>
      </c>
      <c r="L522" s="12">
        <f>IF(dataset!$G522&gt;=200000,38%,IF(dataset!$G522&lt;=145000,12.3%,))</f>
        <v>0.12300000000000001</v>
      </c>
      <c r="M522" s="7">
        <f>dataset!$G522*L523*12</f>
        <v>44280.000000000007</v>
      </c>
      <c r="N522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522" s="7">
        <f>dataset!$K522+dataset!$M522</f>
        <v>693480</v>
      </c>
      <c r="P522" s="7">
        <f>Payroll_Data_Analysis[[#This Row],[Annual Salary + KPI Bonus]]/12/29.3*31</f>
        <v>61143.003412969279</v>
      </c>
      <c r="Q522" s="7">
        <f>IF(Payroll_Data_Analysis[[#This Row],[Vacation Reserve]]&lt;=2979000,Payroll_Data_Analysis[[#This Row],[Vacation Reserve]]*0.302,2979000*0.302+(Payroll_Data_Analysis[[#This Row],[Vacation Reserve]]-2979000)*0.151)</f>
        <v>18465.187030716723</v>
      </c>
      <c r="R522" s="7">
        <f>Payroll_Data_Analysis[[#This Row],[Monthly Salary]]*11</f>
        <v>595100</v>
      </c>
      <c r="S522" s="7">
        <f>IF(Payroll_Data_Analysis[[#This Row],[11-Month Salary]]&lt;=2979000,Payroll_Data_Analysis[[#This Row],[11-Month Salary]]*0.302,2979000*0.302+(Payroll_Data_Analysis[[#This Row],[11-Month Salary]]-2979000)*0.151)</f>
        <v>179720.19999999998</v>
      </c>
      <c r="T522" s="7">
        <f>IF(Payroll_Data_Analysis[[#This Row],[Base Salary (Monthly)]]&gt;=200000,69507,IF(Payroll_Data_Analysis[[#This Row],[Base Salary (Monthly)]]&gt;=145000,52684,35103))</f>
        <v>35103</v>
      </c>
      <c r="U522" s="7">
        <f>Payroll_Data_Analysis[[#This Row],[Annual KPI Bonus Reserve]]+Payroll_Data_Analysis[[#This Row],[Vacation Reserve]]+Payroll_Data_Analysis[[#This Row],[11-Month Salary]]</f>
        <v>700523.00341296929</v>
      </c>
      <c r="V522" s="7">
        <f>Payroll_Data_Analysis[[#This Row],[Payroll Taxes (KPI Bonus)]]+Payroll_Data_Analysis[[#This Row],[Payroll Taxes (Vacation)]]+Payroll_Data_Analysis[[#This Row],[Payroll Taxes (Salary)]]</f>
        <v>211557.94703071669</v>
      </c>
      <c r="W522" s="13">
        <f>Payroll_Data_Analysis[[#This Row],[Total Payroll]]+Payroll_Data_Analysis[[#This Row],[Total Payroll Taxes]]</f>
        <v>912080.95044368599</v>
      </c>
    </row>
    <row r="523" spans="1:23">
      <c r="A523" s="11" t="s">
        <v>669</v>
      </c>
      <c r="B523" s="5" t="s">
        <v>526</v>
      </c>
      <c r="C523" s="18" t="s">
        <v>710</v>
      </c>
      <c r="D523" s="28" t="str">
        <f>VLOOKUP(Payroll_Data_Analysis[[#This Row],[Position]],Position_Map!$A$2:$B$58,2,FALSE)</f>
        <v>Professional</v>
      </c>
      <c r="E523" s="6">
        <v>1</v>
      </c>
      <c r="F523" s="7">
        <v>52800</v>
      </c>
      <c r="G523" s="7">
        <v>30000</v>
      </c>
      <c r="H523" s="7"/>
      <c r="I523" s="7">
        <f>dataset!$F523-dataset!$J523-dataset!$G523-dataset!$H523</f>
        <v>20400</v>
      </c>
      <c r="J523" s="7">
        <f>dataset!$G523*0.08</f>
        <v>2400</v>
      </c>
      <c r="K523" s="7">
        <f>dataset!$F523*12</f>
        <v>633600</v>
      </c>
      <c r="L523" s="12">
        <f>IF(dataset!$G523&gt;=200000,38%,IF(dataset!$G523&lt;=145000,12.3%,))</f>
        <v>0.12300000000000001</v>
      </c>
      <c r="M523" s="7">
        <f>dataset!$G523*L524*12</f>
        <v>44280.000000000007</v>
      </c>
      <c r="N523" s="7">
        <f>IF(Payroll_Data_Analysis[[#This Row],[Annual KPI Bonus Reserve]]&lt;=2979000,Payroll_Data_Analysis[[#This Row],[Annual KPI Bonus Reserve]]*0.302,2979000*0.302+(Payroll_Data_Analysis[[#This Row],[Annual KPI Bonus Reserve]]-2979000)*0.151)</f>
        <v>13372.560000000001</v>
      </c>
      <c r="O523" s="7">
        <f>dataset!$K523+dataset!$M523</f>
        <v>677880</v>
      </c>
      <c r="P523" s="7">
        <f>Payroll_Data_Analysis[[#This Row],[Annual Salary + KPI Bonus]]/12/29.3*31</f>
        <v>59767.576791808875</v>
      </c>
      <c r="Q523" s="7">
        <f>IF(Payroll_Data_Analysis[[#This Row],[Vacation Reserve]]&lt;=2979000,Payroll_Data_Analysis[[#This Row],[Vacation Reserve]]*0.302,2979000*0.302+(Payroll_Data_Analysis[[#This Row],[Vacation Reserve]]-2979000)*0.151)</f>
        <v>18049.808191126278</v>
      </c>
      <c r="R523" s="7">
        <f>Payroll_Data_Analysis[[#This Row],[Monthly Salary]]*11</f>
        <v>580800</v>
      </c>
      <c r="S523" s="7">
        <f>IF(Payroll_Data_Analysis[[#This Row],[11-Month Salary]]&lt;=2979000,Payroll_Data_Analysis[[#This Row],[11-Month Salary]]*0.302,2979000*0.302+(Payroll_Data_Analysis[[#This Row],[11-Month Salary]]-2979000)*0.151)</f>
        <v>175401.60000000001</v>
      </c>
      <c r="T523" s="7">
        <f>IF(Payroll_Data_Analysis[[#This Row],[Base Salary (Monthly)]]&gt;=200000,69507,IF(Payroll_Data_Analysis[[#This Row],[Base Salary (Monthly)]]&gt;=145000,52684,35103))</f>
        <v>35103</v>
      </c>
      <c r="U523" s="7">
        <f>Payroll_Data_Analysis[[#This Row],[Annual KPI Bonus Reserve]]+Payroll_Data_Analysis[[#This Row],[Vacation Reserve]]+Payroll_Data_Analysis[[#This Row],[11-Month Salary]]</f>
        <v>684847.57679180894</v>
      </c>
      <c r="V523" s="7">
        <f>Payroll_Data_Analysis[[#This Row],[Payroll Taxes (KPI Bonus)]]+Payroll_Data_Analysis[[#This Row],[Payroll Taxes (Vacation)]]+Payroll_Data_Analysis[[#This Row],[Payroll Taxes (Salary)]]</f>
        <v>206823.96819112627</v>
      </c>
      <c r="W523" s="13">
        <f>Payroll_Data_Analysis[[#This Row],[Total Payroll]]+Payroll_Data_Analysis[[#This Row],[Total Payroll Taxes]]</f>
        <v>891671.54498293519</v>
      </c>
    </row>
    <row r="524" spans="1:23">
      <c r="A524" s="11" t="s">
        <v>669</v>
      </c>
      <c r="B524" s="5" t="s">
        <v>527</v>
      </c>
      <c r="C524" s="18" t="s">
        <v>742</v>
      </c>
      <c r="D524" s="28" t="str">
        <f>VLOOKUP(Payroll_Data_Analysis[[#This Row],[Position]],Position_Map!$A$2:$B$58,2,FALSE)</f>
        <v>Management</v>
      </c>
      <c r="E524" s="6">
        <v>1</v>
      </c>
      <c r="F524" s="7">
        <v>138000</v>
      </c>
      <c r="G524" s="7">
        <v>100000</v>
      </c>
      <c r="H524" s="7"/>
      <c r="I524" s="7">
        <f>dataset!$F524-dataset!$J524-dataset!$G524-dataset!$H524</f>
        <v>30000</v>
      </c>
      <c r="J524" s="7">
        <f>dataset!$G524*0.08</f>
        <v>8000</v>
      </c>
      <c r="K524" s="7">
        <f>dataset!$F524*12</f>
        <v>1656000</v>
      </c>
      <c r="L524" s="12">
        <f>IF(dataset!$G524&gt;=200000,38%,IF(dataset!$G524&lt;=145000,12.3%,))</f>
        <v>0.12300000000000001</v>
      </c>
      <c r="M524" s="7">
        <f>dataset!$G524*L525*12</f>
        <v>147600.00000000003</v>
      </c>
      <c r="N52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24" s="7">
        <f>dataset!$K524+dataset!$M524</f>
        <v>1803600</v>
      </c>
      <c r="P524" s="7">
        <f>Payroll_Data_Analysis[[#This Row],[Annual Salary + KPI Bonus]]/12/29.3*31</f>
        <v>159020.47781569965</v>
      </c>
      <c r="Q524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524" s="7">
        <f>Payroll_Data_Analysis[[#This Row],[Monthly Salary]]*11</f>
        <v>1518000</v>
      </c>
      <c r="S524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524" s="7">
        <f>IF(Payroll_Data_Analysis[[#This Row],[Base Salary (Monthly)]]&gt;=200000,69507,IF(Payroll_Data_Analysis[[#This Row],[Base Salary (Monthly)]]&gt;=145000,52684,35103))</f>
        <v>35103</v>
      </c>
      <c r="U524" s="7">
        <f>Payroll_Data_Analysis[[#This Row],[Annual KPI Bonus Reserve]]+Payroll_Data_Analysis[[#This Row],[Vacation Reserve]]+Payroll_Data_Analysis[[#This Row],[11-Month Salary]]</f>
        <v>1824620.4778156998</v>
      </c>
      <c r="V524" s="7">
        <f>Payroll_Data_Analysis[[#This Row],[Payroll Taxes (KPI Bonus)]]+Payroll_Data_Analysis[[#This Row],[Payroll Taxes (Vacation)]]+Payroll_Data_Analysis[[#This Row],[Payroll Taxes (Salary)]]</f>
        <v>551035.38430034136</v>
      </c>
      <c r="W524" s="13">
        <f>Payroll_Data_Analysis[[#This Row],[Total Payroll]]+Payroll_Data_Analysis[[#This Row],[Total Payroll Taxes]]</f>
        <v>2375655.8621160411</v>
      </c>
    </row>
    <row r="525" spans="1:23">
      <c r="A525" s="11" t="s">
        <v>669</v>
      </c>
      <c r="B525" s="5" t="s">
        <v>528</v>
      </c>
      <c r="C525" s="18" t="s">
        <v>708</v>
      </c>
      <c r="D525" s="28" t="str">
        <f>VLOOKUP(Payroll_Data_Analysis[[#This Row],[Position]],Position_Map!$A$2:$B$58,2,FALSE)</f>
        <v>Professional</v>
      </c>
      <c r="E525" s="6">
        <v>1</v>
      </c>
      <c r="F525" s="7">
        <v>108400</v>
      </c>
      <c r="G525" s="7">
        <v>80000</v>
      </c>
      <c r="H525" s="7"/>
      <c r="I525" s="7">
        <f>dataset!$F525-dataset!$J525-dataset!$G525-dataset!$H525</f>
        <v>22000</v>
      </c>
      <c r="J525" s="7">
        <f>dataset!$G525*0.08</f>
        <v>6400</v>
      </c>
      <c r="K525" s="7">
        <f>dataset!$F525*12</f>
        <v>1300800</v>
      </c>
      <c r="L525" s="12">
        <f>IF(dataset!$G525&gt;=200000,38%,IF(dataset!$G525&lt;=145000,12.3%,))</f>
        <v>0.12300000000000001</v>
      </c>
      <c r="M525" s="7">
        <f>dataset!$G525*L526*12</f>
        <v>118080.00000000003</v>
      </c>
      <c r="N52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25" s="7">
        <f>dataset!$K525+dataset!$M525</f>
        <v>1418880</v>
      </c>
      <c r="P525" s="7">
        <f>Payroll_Data_Analysis[[#This Row],[Annual Salary + KPI Bonus]]/12/29.3*31</f>
        <v>125100.34129692832</v>
      </c>
      <c r="Q525" s="7">
        <f>IF(Payroll_Data_Analysis[[#This Row],[Vacation Reserve]]&lt;=2979000,Payroll_Data_Analysis[[#This Row],[Vacation Reserve]]*0.302,2979000*0.302+(Payroll_Data_Analysis[[#This Row],[Vacation Reserve]]-2979000)*0.151)</f>
        <v>37780.303071672352</v>
      </c>
      <c r="R525" s="7">
        <f>Payroll_Data_Analysis[[#This Row],[Monthly Salary]]*11</f>
        <v>1192400</v>
      </c>
      <c r="S525" s="7">
        <f>IF(Payroll_Data_Analysis[[#This Row],[11-Month Salary]]&lt;=2979000,Payroll_Data_Analysis[[#This Row],[11-Month Salary]]*0.302,2979000*0.302+(Payroll_Data_Analysis[[#This Row],[11-Month Salary]]-2979000)*0.151)</f>
        <v>360104.8</v>
      </c>
      <c r="T525" s="7">
        <f>IF(Payroll_Data_Analysis[[#This Row],[Base Salary (Monthly)]]&gt;=200000,69507,IF(Payroll_Data_Analysis[[#This Row],[Base Salary (Monthly)]]&gt;=145000,52684,35103))</f>
        <v>35103</v>
      </c>
      <c r="U525" s="7">
        <f>Payroll_Data_Analysis[[#This Row],[Annual KPI Bonus Reserve]]+Payroll_Data_Analysis[[#This Row],[Vacation Reserve]]+Payroll_Data_Analysis[[#This Row],[11-Month Salary]]</f>
        <v>1435580.3412969285</v>
      </c>
      <c r="V525" s="7">
        <f>Payroll_Data_Analysis[[#This Row],[Payroll Taxes (KPI Bonus)]]+Payroll_Data_Analysis[[#This Row],[Payroll Taxes (Vacation)]]+Payroll_Data_Analysis[[#This Row],[Payroll Taxes (Salary)]]</f>
        <v>433545.26307167235</v>
      </c>
      <c r="W525" s="13">
        <f>Payroll_Data_Analysis[[#This Row],[Total Payroll]]+Payroll_Data_Analysis[[#This Row],[Total Payroll Taxes]]</f>
        <v>1869125.6043686008</v>
      </c>
    </row>
    <row r="526" spans="1:23">
      <c r="A526" s="11" t="s">
        <v>669</v>
      </c>
      <c r="B526" s="5" t="s">
        <v>529</v>
      </c>
      <c r="C526" s="18" t="s">
        <v>705</v>
      </c>
      <c r="D526" s="28" t="str">
        <f>VLOOKUP(Payroll_Data_Analysis[[#This Row],[Position]],Position_Map!$A$2:$B$58,2,FALSE)</f>
        <v>Professional</v>
      </c>
      <c r="E526" s="6">
        <v>1</v>
      </c>
      <c r="F526" s="7">
        <v>84800</v>
      </c>
      <c r="G526" s="7">
        <v>60000</v>
      </c>
      <c r="H526" s="7"/>
      <c r="I526" s="7">
        <f>dataset!$F526-dataset!$J526-dataset!$G526-dataset!$H526</f>
        <v>20000</v>
      </c>
      <c r="J526" s="7">
        <f>dataset!$G526*0.08</f>
        <v>4800</v>
      </c>
      <c r="K526" s="7">
        <f>dataset!$F526*12</f>
        <v>1017600</v>
      </c>
      <c r="L526" s="12">
        <f>IF(dataset!$G526&gt;=200000,38%,IF(dataset!$G526&lt;=145000,12.3%,))</f>
        <v>0.12300000000000001</v>
      </c>
      <c r="M526" s="7">
        <f>dataset!$G526*L527*12</f>
        <v>88560.000000000015</v>
      </c>
      <c r="N52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26" s="7">
        <f>dataset!$K526+dataset!$M526</f>
        <v>1106160</v>
      </c>
      <c r="P526" s="7">
        <f>Payroll_Data_Analysis[[#This Row],[Annual Salary + KPI Bonus]]/12/29.3*31</f>
        <v>97528.327645051191</v>
      </c>
      <c r="Q526" s="7">
        <f>IF(Payroll_Data_Analysis[[#This Row],[Vacation Reserve]]&lt;=2979000,Payroll_Data_Analysis[[#This Row],[Vacation Reserve]]*0.302,2979000*0.302+(Payroll_Data_Analysis[[#This Row],[Vacation Reserve]]-2979000)*0.151)</f>
        <v>29453.55494880546</v>
      </c>
      <c r="R526" s="7">
        <f>Payroll_Data_Analysis[[#This Row],[Monthly Salary]]*11</f>
        <v>932800</v>
      </c>
      <c r="S526" s="7">
        <f>IF(Payroll_Data_Analysis[[#This Row],[11-Month Salary]]&lt;=2979000,Payroll_Data_Analysis[[#This Row],[11-Month Salary]]*0.302,2979000*0.302+(Payroll_Data_Analysis[[#This Row],[11-Month Salary]]-2979000)*0.151)</f>
        <v>281705.59999999998</v>
      </c>
      <c r="T526" s="7">
        <f>IF(Payroll_Data_Analysis[[#This Row],[Base Salary (Monthly)]]&gt;=200000,69507,IF(Payroll_Data_Analysis[[#This Row],[Base Salary (Monthly)]]&gt;=145000,52684,35103))</f>
        <v>35103</v>
      </c>
      <c r="U526" s="7">
        <f>Payroll_Data_Analysis[[#This Row],[Annual KPI Bonus Reserve]]+Payroll_Data_Analysis[[#This Row],[Vacation Reserve]]+Payroll_Data_Analysis[[#This Row],[11-Month Salary]]</f>
        <v>1118888.3276450513</v>
      </c>
      <c r="V526" s="7">
        <f>Payroll_Data_Analysis[[#This Row],[Payroll Taxes (KPI Bonus)]]+Payroll_Data_Analysis[[#This Row],[Payroll Taxes (Vacation)]]+Payroll_Data_Analysis[[#This Row],[Payroll Taxes (Salary)]]</f>
        <v>337904.27494880545</v>
      </c>
      <c r="W526" s="13">
        <f>Payroll_Data_Analysis[[#This Row],[Total Payroll]]+Payroll_Data_Analysis[[#This Row],[Total Payroll Taxes]]</f>
        <v>1456792.6025938569</v>
      </c>
    </row>
    <row r="527" spans="1:23">
      <c r="A527" s="11" t="s">
        <v>669</v>
      </c>
      <c r="B527" s="5" t="s">
        <v>530</v>
      </c>
      <c r="C527" s="18" t="s">
        <v>703</v>
      </c>
      <c r="D527" s="28" t="str">
        <f>VLOOKUP(Payroll_Data_Analysis[[#This Row],[Position]],Position_Map!$A$2:$B$58,2,FALSE)</f>
        <v>Management</v>
      </c>
      <c r="E527" s="6">
        <v>1</v>
      </c>
      <c r="F527" s="7">
        <v>211600</v>
      </c>
      <c r="G527" s="7">
        <v>145000</v>
      </c>
      <c r="H527" s="7"/>
      <c r="I527" s="7">
        <f>dataset!$F527-dataset!$J527-dataset!$G527-dataset!$H527</f>
        <v>55000</v>
      </c>
      <c r="J527" s="7">
        <f>dataset!$G527*0.08</f>
        <v>11600</v>
      </c>
      <c r="K527" s="7">
        <f>dataset!$F527*12</f>
        <v>2539200</v>
      </c>
      <c r="L527" s="12">
        <f>IF(dataset!$G527&gt;=200000,38%,IF(dataset!$G527&lt;=145000,12.3%,))</f>
        <v>0.12300000000000001</v>
      </c>
      <c r="M527" s="7">
        <f>dataset!$G527*L528*12</f>
        <v>214020</v>
      </c>
      <c r="N52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27" s="7">
        <f>dataset!$K527+dataset!$M527</f>
        <v>2753220</v>
      </c>
      <c r="P527" s="7">
        <f>Payroll_Data_Analysis[[#This Row],[Annual Salary + KPI Bonus]]/12/29.3*31</f>
        <v>242746.92832764506</v>
      </c>
      <c r="Q527" s="7">
        <f>IF(Payroll_Data_Analysis[[#This Row],[Vacation Reserve]]&lt;=2979000,Payroll_Data_Analysis[[#This Row],[Vacation Reserve]]*0.302,2979000*0.302+(Payroll_Data_Analysis[[#This Row],[Vacation Reserve]]-2979000)*0.151)</f>
        <v>73309.572354948803</v>
      </c>
      <c r="R527" s="7">
        <f>Payroll_Data_Analysis[[#This Row],[Monthly Salary]]*11</f>
        <v>2327600</v>
      </c>
      <c r="S527" s="7">
        <f>IF(Payroll_Data_Analysis[[#This Row],[11-Month Salary]]&lt;=2979000,Payroll_Data_Analysis[[#This Row],[11-Month Salary]]*0.302,2979000*0.302+(Payroll_Data_Analysis[[#This Row],[11-Month Salary]]-2979000)*0.151)</f>
        <v>702935.2</v>
      </c>
      <c r="T527" s="7">
        <f>IF(Payroll_Data_Analysis[[#This Row],[Base Salary (Monthly)]]&gt;=200000,69507,IF(Payroll_Data_Analysis[[#This Row],[Base Salary (Monthly)]]&gt;=145000,52684,35103))</f>
        <v>52684</v>
      </c>
      <c r="U527" s="7">
        <f>Payroll_Data_Analysis[[#This Row],[Annual KPI Bonus Reserve]]+Payroll_Data_Analysis[[#This Row],[Vacation Reserve]]+Payroll_Data_Analysis[[#This Row],[11-Month Salary]]</f>
        <v>2784366.9283276452</v>
      </c>
      <c r="V527" s="7">
        <f>Payroll_Data_Analysis[[#This Row],[Payroll Taxes (KPI Bonus)]]+Payroll_Data_Analysis[[#This Row],[Payroll Taxes (Vacation)]]+Payroll_Data_Analysis[[#This Row],[Payroll Taxes (Salary)]]</f>
        <v>840878.81235494872</v>
      </c>
      <c r="W527" s="13">
        <f>Payroll_Data_Analysis[[#This Row],[Total Payroll]]+Payroll_Data_Analysis[[#This Row],[Total Payroll Taxes]]</f>
        <v>3625245.740682594</v>
      </c>
    </row>
    <row r="528" spans="1:23">
      <c r="A528" s="11" t="s">
        <v>669</v>
      </c>
      <c r="B528" s="5" t="s">
        <v>531</v>
      </c>
      <c r="C528" s="5" t="s">
        <v>699</v>
      </c>
      <c r="D528" s="28" t="str">
        <f>VLOOKUP(Payroll_Data_Analysis[[#This Row],[Position]],Position_Map!$A$2:$B$58,2,FALSE)</f>
        <v>Professional</v>
      </c>
      <c r="E528" s="6">
        <v>1</v>
      </c>
      <c r="F528" s="7">
        <v>261600</v>
      </c>
      <c r="G528" s="7">
        <v>145000</v>
      </c>
      <c r="H528" s="7"/>
      <c r="I528" s="7">
        <f>dataset!$F528-dataset!$J528-dataset!$G528-dataset!$H528</f>
        <v>105000</v>
      </c>
      <c r="J528" s="7">
        <f>dataset!$G528*0.08</f>
        <v>11600</v>
      </c>
      <c r="K528" s="7">
        <f>dataset!$F528*12</f>
        <v>3139200</v>
      </c>
      <c r="L528" s="12">
        <f>IF(dataset!$G528&gt;=200000,38%,IF(dataset!$G528&lt;=145000,12.3%,))</f>
        <v>0.12300000000000001</v>
      </c>
      <c r="M528" s="7">
        <f>dataset!$G528*L529*12</f>
        <v>214020</v>
      </c>
      <c r="N52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28" s="7">
        <f>dataset!$K528+dataset!$M528</f>
        <v>3353220</v>
      </c>
      <c r="P528" s="7">
        <f>Payroll_Data_Analysis[[#This Row],[Annual Salary + KPI Bonus]]/12/29.3*31</f>
        <v>295647.95221843006</v>
      </c>
      <c r="Q528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528" s="7">
        <f>Payroll_Data_Analysis[[#This Row],[Monthly Salary]]*11</f>
        <v>2877600</v>
      </c>
      <c r="S528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528" s="7">
        <f>IF(Payroll_Data_Analysis[[#This Row],[Base Salary (Monthly)]]&gt;=200000,69507,IF(Payroll_Data_Analysis[[#This Row],[Base Salary (Monthly)]]&gt;=145000,52684,35103))</f>
        <v>52684</v>
      </c>
      <c r="U528" s="7">
        <f>Payroll_Data_Analysis[[#This Row],[Annual KPI Bonus Reserve]]+Payroll_Data_Analysis[[#This Row],[Vacation Reserve]]+Payroll_Data_Analysis[[#This Row],[11-Month Salary]]</f>
        <v>3387267.9522184301</v>
      </c>
      <c r="V528" s="7">
        <f>Payroll_Data_Analysis[[#This Row],[Payroll Taxes (KPI Bonus)]]+Payroll_Data_Analysis[[#This Row],[Payroll Taxes (Vacation)]]+Payroll_Data_Analysis[[#This Row],[Payroll Taxes (Salary)]]</f>
        <v>1022954.9215699658</v>
      </c>
      <c r="W528" s="13">
        <f>Payroll_Data_Analysis[[#This Row],[Total Payroll]]+Payroll_Data_Analysis[[#This Row],[Total Payroll Taxes]]</f>
        <v>4410222.8737883959</v>
      </c>
    </row>
    <row r="529" spans="1:23">
      <c r="A529" s="11" t="s">
        <v>669</v>
      </c>
      <c r="B529" s="5" t="s">
        <v>532</v>
      </c>
      <c r="C529" s="18" t="s">
        <v>708</v>
      </c>
      <c r="D529" s="28" t="str">
        <f>VLOOKUP(Payroll_Data_Analysis[[#This Row],[Position]],Position_Map!$A$2:$B$58,2,FALSE)</f>
        <v>Professional</v>
      </c>
      <c r="E529" s="6">
        <v>1</v>
      </c>
      <c r="F529" s="7">
        <v>261600</v>
      </c>
      <c r="G529" s="7">
        <v>145000</v>
      </c>
      <c r="H529" s="7"/>
      <c r="I529" s="7">
        <f>dataset!$F529-dataset!$J529-dataset!$G529-dataset!$H529</f>
        <v>105000</v>
      </c>
      <c r="J529" s="7">
        <f>dataset!$G529*0.08</f>
        <v>11600</v>
      </c>
      <c r="K529" s="7">
        <f>dataset!$F529*12</f>
        <v>3139200</v>
      </c>
      <c r="L529" s="12">
        <f>IF(dataset!$G529&gt;=200000,38%,IF(dataset!$G529&lt;=145000,12.3%,))</f>
        <v>0.12300000000000001</v>
      </c>
      <c r="M529" s="7">
        <f>dataset!$G529*L530*12</f>
        <v>214020</v>
      </c>
      <c r="N52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29" s="7">
        <f>dataset!$K529+dataset!$M529</f>
        <v>3353220</v>
      </c>
      <c r="P529" s="7">
        <f>Payroll_Data_Analysis[[#This Row],[Annual Salary + KPI Bonus]]/12/29.3*31</f>
        <v>295647.95221843006</v>
      </c>
      <c r="Q529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529" s="7">
        <f>Payroll_Data_Analysis[[#This Row],[Monthly Salary]]*11</f>
        <v>2877600</v>
      </c>
      <c r="S529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529" s="7">
        <f>IF(Payroll_Data_Analysis[[#This Row],[Base Salary (Monthly)]]&gt;=200000,69507,IF(Payroll_Data_Analysis[[#This Row],[Base Salary (Monthly)]]&gt;=145000,52684,35103))</f>
        <v>52684</v>
      </c>
      <c r="U529" s="7">
        <f>Payroll_Data_Analysis[[#This Row],[Annual KPI Bonus Reserve]]+Payroll_Data_Analysis[[#This Row],[Vacation Reserve]]+Payroll_Data_Analysis[[#This Row],[11-Month Salary]]</f>
        <v>3387267.9522184301</v>
      </c>
      <c r="V529" s="7">
        <f>Payroll_Data_Analysis[[#This Row],[Payroll Taxes (KPI Bonus)]]+Payroll_Data_Analysis[[#This Row],[Payroll Taxes (Vacation)]]+Payroll_Data_Analysis[[#This Row],[Payroll Taxes (Salary)]]</f>
        <v>1022954.9215699658</v>
      </c>
      <c r="W529" s="13">
        <f>Payroll_Data_Analysis[[#This Row],[Total Payroll]]+Payroll_Data_Analysis[[#This Row],[Total Payroll Taxes]]</f>
        <v>4410222.8737883959</v>
      </c>
    </row>
    <row r="530" spans="1:23">
      <c r="A530" s="11" t="s">
        <v>669</v>
      </c>
      <c r="B530" s="5" t="s">
        <v>533</v>
      </c>
      <c r="C530" s="18" t="s">
        <v>708</v>
      </c>
      <c r="D530" s="28" t="str">
        <f>VLOOKUP(Payroll_Data_Analysis[[#This Row],[Position]],Position_Map!$A$2:$B$58,2,FALSE)</f>
        <v>Professional</v>
      </c>
      <c r="E530" s="6">
        <v>1</v>
      </c>
      <c r="F530" s="7">
        <v>158000</v>
      </c>
      <c r="G530" s="7">
        <v>100000</v>
      </c>
      <c r="H530" s="7"/>
      <c r="I530" s="7">
        <f>dataset!$F530-dataset!$J530-dataset!$G530-dataset!$H530</f>
        <v>50000</v>
      </c>
      <c r="J530" s="7">
        <f>dataset!$G530*0.08</f>
        <v>8000</v>
      </c>
      <c r="K530" s="7">
        <f>dataset!$F530*12</f>
        <v>1896000</v>
      </c>
      <c r="L530" s="12">
        <f>IF(dataset!$G530&gt;=200000,38%,IF(dataset!$G530&lt;=145000,12.3%,))</f>
        <v>0.12300000000000001</v>
      </c>
      <c r="M530" s="7">
        <f>dataset!$G530*L531*12</f>
        <v>147600.00000000003</v>
      </c>
      <c r="N53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30" s="7">
        <f>dataset!$K530+dataset!$M530</f>
        <v>2043600</v>
      </c>
      <c r="P530" s="7">
        <f>Payroll_Data_Analysis[[#This Row],[Annual Salary + KPI Bonus]]/12/29.3*31</f>
        <v>180180.88737201365</v>
      </c>
      <c r="Q530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30" s="7">
        <f>Payroll_Data_Analysis[[#This Row],[Monthly Salary]]*11</f>
        <v>1738000</v>
      </c>
      <c r="S530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30" s="7">
        <f>IF(Payroll_Data_Analysis[[#This Row],[Base Salary (Monthly)]]&gt;=200000,69507,IF(Payroll_Data_Analysis[[#This Row],[Base Salary (Monthly)]]&gt;=145000,52684,35103))</f>
        <v>35103</v>
      </c>
      <c r="U530" s="7">
        <f>Payroll_Data_Analysis[[#This Row],[Annual KPI Bonus Reserve]]+Payroll_Data_Analysis[[#This Row],[Vacation Reserve]]+Payroll_Data_Analysis[[#This Row],[11-Month Salary]]</f>
        <v>2065780.8873720136</v>
      </c>
      <c r="V530" s="7">
        <f>Payroll_Data_Analysis[[#This Row],[Payroll Taxes (KPI Bonus)]]+Payroll_Data_Analysis[[#This Row],[Payroll Taxes (Vacation)]]+Payroll_Data_Analysis[[#This Row],[Payroll Taxes (Salary)]]</f>
        <v>623865.82798634819</v>
      </c>
      <c r="W530" s="13">
        <f>Payroll_Data_Analysis[[#This Row],[Total Payroll]]+Payroll_Data_Analysis[[#This Row],[Total Payroll Taxes]]</f>
        <v>2689646.7153583616</v>
      </c>
    </row>
    <row r="531" spans="1:23">
      <c r="A531" s="11" t="s">
        <v>669</v>
      </c>
      <c r="B531" s="5" t="s">
        <v>534</v>
      </c>
      <c r="C531" s="18" t="s">
        <v>708</v>
      </c>
      <c r="D531" s="28" t="str">
        <f>VLOOKUP(Payroll_Data_Analysis[[#This Row],[Position]],Position_Map!$A$2:$B$58,2,FALSE)</f>
        <v>Professional</v>
      </c>
      <c r="E531" s="6">
        <v>1</v>
      </c>
      <c r="F531" s="7">
        <v>158000</v>
      </c>
      <c r="G531" s="7">
        <v>100000</v>
      </c>
      <c r="H531" s="7"/>
      <c r="I531" s="7">
        <f>dataset!$F531-dataset!$J531-dataset!$G531-dataset!$H531</f>
        <v>50000</v>
      </c>
      <c r="J531" s="7">
        <f>dataset!$G531*0.08</f>
        <v>8000</v>
      </c>
      <c r="K531" s="7">
        <f>dataset!$F531*12</f>
        <v>1896000</v>
      </c>
      <c r="L531" s="12">
        <f>IF(dataset!$G531&gt;=200000,38%,IF(dataset!$G531&lt;=145000,12.3%,))</f>
        <v>0.12300000000000001</v>
      </c>
      <c r="M531" s="7">
        <f>dataset!$G531*L532*12</f>
        <v>147600.00000000003</v>
      </c>
      <c r="N53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31" s="7">
        <f>dataset!$K531+dataset!$M531</f>
        <v>2043600</v>
      </c>
      <c r="P531" s="7">
        <f>Payroll_Data_Analysis[[#This Row],[Annual Salary + KPI Bonus]]/12/29.3*31</f>
        <v>180180.88737201365</v>
      </c>
      <c r="Q531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31" s="7">
        <f>Payroll_Data_Analysis[[#This Row],[Monthly Salary]]*11</f>
        <v>1738000</v>
      </c>
      <c r="S531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31" s="7">
        <f>IF(Payroll_Data_Analysis[[#This Row],[Base Salary (Monthly)]]&gt;=200000,69507,IF(Payroll_Data_Analysis[[#This Row],[Base Salary (Monthly)]]&gt;=145000,52684,35103))</f>
        <v>35103</v>
      </c>
      <c r="U531" s="7">
        <f>Payroll_Data_Analysis[[#This Row],[Annual KPI Bonus Reserve]]+Payroll_Data_Analysis[[#This Row],[Vacation Reserve]]+Payroll_Data_Analysis[[#This Row],[11-Month Salary]]</f>
        <v>2065780.8873720136</v>
      </c>
      <c r="V531" s="7">
        <f>Payroll_Data_Analysis[[#This Row],[Payroll Taxes (KPI Bonus)]]+Payroll_Data_Analysis[[#This Row],[Payroll Taxes (Vacation)]]+Payroll_Data_Analysis[[#This Row],[Payroll Taxes (Salary)]]</f>
        <v>623865.82798634819</v>
      </c>
      <c r="W531" s="13">
        <f>Payroll_Data_Analysis[[#This Row],[Total Payroll]]+Payroll_Data_Analysis[[#This Row],[Total Payroll Taxes]]</f>
        <v>2689646.7153583616</v>
      </c>
    </row>
    <row r="532" spans="1:23">
      <c r="A532" s="11" t="s">
        <v>669</v>
      </c>
      <c r="B532" s="5" t="s">
        <v>535</v>
      </c>
      <c r="C532" s="18" t="s">
        <v>708</v>
      </c>
      <c r="D532" s="28" t="str">
        <f>VLOOKUP(Payroll_Data_Analysis[[#This Row],[Position]],Position_Map!$A$2:$B$58,2,FALSE)</f>
        <v>Professional</v>
      </c>
      <c r="E532" s="6">
        <v>1</v>
      </c>
      <c r="F532" s="7">
        <v>116400</v>
      </c>
      <c r="G532" s="7">
        <v>80000</v>
      </c>
      <c r="H532" s="7"/>
      <c r="I532" s="7">
        <f>dataset!$F532-dataset!$J532-dataset!$G532-dataset!$H532</f>
        <v>30000</v>
      </c>
      <c r="J532" s="7">
        <f>dataset!$G532*0.08</f>
        <v>6400</v>
      </c>
      <c r="K532" s="7">
        <f>dataset!$F532*12</f>
        <v>1396800</v>
      </c>
      <c r="L532" s="12">
        <f>IF(dataset!$G532&gt;=200000,38%,IF(dataset!$G532&lt;=145000,12.3%,))</f>
        <v>0.12300000000000001</v>
      </c>
      <c r="M532" s="7">
        <f>dataset!$G532*L533*12</f>
        <v>118080.00000000003</v>
      </c>
      <c r="N53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32" s="7">
        <f>dataset!$K532+dataset!$M532</f>
        <v>1514880</v>
      </c>
      <c r="P532" s="7">
        <f>Payroll_Data_Analysis[[#This Row],[Annual Salary + KPI Bonus]]/12/29.3*31</f>
        <v>133564.50511945394</v>
      </c>
      <c r="Q532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532" s="7">
        <f>Payroll_Data_Analysis[[#This Row],[Monthly Salary]]*11</f>
        <v>1280400</v>
      </c>
      <c r="S532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532" s="7">
        <f>IF(Payroll_Data_Analysis[[#This Row],[Base Salary (Monthly)]]&gt;=200000,69507,IF(Payroll_Data_Analysis[[#This Row],[Base Salary (Monthly)]]&gt;=145000,52684,35103))</f>
        <v>35103</v>
      </c>
      <c r="U532" s="7">
        <f>Payroll_Data_Analysis[[#This Row],[Annual KPI Bonus Reserve]]+Payroll_Data_Analysis[[#This Row],[Vacation Reserve]]+Payroll_Data_Analysis[[#This Row],[11-Month Salary]]</f>
        <v>1532044.5051194539</v>
      </c>
      <c r="V532" s="7">
        <f>Payroll_Data_Analysis[[#This Row],[Payroll Taxes (KPI Bonus)]]+Payroll_Data_Analysis[[#This Row],[Payroll Taxes (Vacation)]]+Payroll_Data_Analysis[[#This Row],[Payroll Taxes (Salary)]]</f>
        <v>462677.44054607511</v>
      </c>
      <c r="W532" s="13">
        <f>Payroll_Data_Analysis[[#This Row],[Total Payroll]]+Payroll_Data_Analysis[[#This Row],[Total Payroll Taxes]]</f>
        <v>1994721.945665529</v>
      </c>
    </row>
    <row r="533" spans="1:23">
      <c r="A533" s="11" t="s">
        <v>669</v>
      </c>
      <c r="B533" s="5" t="s">
        <v>536</v>
      </c>
      <c r="C533" s="18" t="s">
        <v>705</v>
      </c>
      <c r="D533" s="28" t="str">
        <f>VLOOKUP(Payroll_Data_Analysis[[#This Row],[Position]],Position_Map!$A$2:$B$58,2,FALSE)</f>
        <v>Professional</v>
      </c>
      <c r="E533" s="6">
        <v>1</v>
      </c>
      <c r="F533" s="7">
        <v>138000</v>
      </c>
      <c r="G533" s="7">
        <v>100000</v>
      </c>
      <c r="H533" s="7"/>
      <c r="I533" s="7">
        <f>dataset!$F533-dataset!$J533-dataset!$G533-dataset!$H533</f>
        <v>30000</v>
      </c>
      <c r="J533" s="7">
        <f>dataset!$G533*0.08</f>
        <v>8000</v>
      </c>
      <c r="K533" s="7">
        <f>dataset!$F533*12</f>
        <v>1656000</v>
      </c>
      <c r="L533" s="12">
        <f>IF(dataset!$G533&gt;=200000,38%,IF(dataset!$G533&lt;=145000,12.3%,))</f>
        <v>0.12300000000000001</v>
      </c>
      <c r="M533" s="7">
        <f>dataset!$G533*L534*12</f>
        <v>147600.00000000003</v>
      </c>
      <c r="N53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33" s="7">
        <f>dataset!$K533+dataset!$M533</f>
        <v>1803600</v>
      </c>
      <c r="P533" s="7">
        <f>Payroll_Data_Analysis[[#This Row],[Annual Salary + KPI Bonus]]/12/29.3*31</f>
        <v>159020.47781569965</v>
      </c>
      <c r="Q533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533" s="7">
        <f>Payroll_Data_Analysis[[#This Row],[Monthly Salary]]*11</f>
        <v>1518000</v>
      </c>
      <c r="S533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533" s="7">
        <f>IF(Payroll_Data_Analysis[[#This Row],[Base Salary (Monthly)]]&gt;=200000,69507,IF(Payroll_Data_Analysis[[#This Row],[Base Salary (Monthly)]]&gt;=145000,52684,35103))</f>
        <v>35103</v>
      </c>
      <c r="U533" s="7">
        <f>Payroll_Data_Analysis[[#This Row],[Annual KPI Bonus Reserve]]+Payroll_Data_Analysis[[#This Row],[Vacation Reserve]]+Payroll_Data_Analysis[[#This Row],[11-Month Salary]]</f>
        <v>1824620.4778156998</v>
      </c>
      <c r="V533" s="7">
        <f>Payroll_Data_Analysis[[#This Row],[Payroll Taxes (KPI Bonus)]]+Payroll_Data_Analysis[[#This Row],[Payroll Taxes (Vacation)]]+Payroll_Data_Analysis[[#This Row],[Payroll Taxes (Salary)]]</f>
        <v>551035.38430034136</v>
      </c>
      <c r="W533" s="13">
        <f>Payroll_Data_Analysis[[#This Row],[Total Payroll]]+Payroll_Data_Analysis[[#This Row],[Total Payroll Taxes]]</f>
        <v>2375655.8621160411</v>
      </c>
    </row>
    <row r="534" spans="1:23">
      <c r="A534" s="11" t="s">
        <v>669</v>
      </c>
      <c r="B534" s="5" t="s">
        <v>537</v>
      </c>
      <c r="C534" s="18" t="s">
        <v>705</v>
      </c>
      <c r="D534" s="28" t="str">
        <f>VLOOKUP(Payroll_Data_Analysis[[#This Row],[Position]],Position_Map!$A$2:$B$58,2,FALSE)</f>
        <v>Professional</v>
      </c>
      <c r="E534" s="6">
        <v>1</v>
      </c>
      <c r="F534" s="7">
        <v>116400</v>
      </c>
      <c r="G534" s="7">
        <v>80000</v>
      </c>
      <c r="H534" s="7"/>
      <c r="I534" s="7">
        <f>dataset!$F534-dataset!$J534-dataset!$G534-dataset!$H534</f>
        <v>30000</v>
      </c>
      <c r="J534" s="7">
        <f>dataset!$G534*0.08</f>
        <v>6400</v>
      </c>
      <c r="K534" s="7">
        <f>dataset!$F534*12</f>
        <v>1396800</v>
      </c>
      <c r="L534" s="12">
        <f>IF(dataset!$G534&gt;=200000,38%,IF(dataset!$G534&lt;=145000,12.3%,))</f>
        <v>0.12300000000000001</v>
      </c>
      <c r="M534" s="7">
        <f>dataset!$G534*L535*12</f>
        <v>118080.00000000003</v>
      </c>
      <c r="N53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34" s="7">
        <f>dataset!$K534+dataset!$M534</f>
        <v>1514880</v>
      </c>
      <c r="P534" s="7">
        <f>Payroll_Data_Analysis[[#This Row],[Annual Salary + KPI Bonus]]/12/29.3*31</f>
        <v>133564.50511945394</v>
      </c>
      <c r="Q534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534" s="7">
        <f>Payroll_Data_Analysis[[#This Row],[Monthly Salary]]*11</f>
        <v>1280400</v>
      </c>
      <c r="S534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534" s="7">
        <f>IF(Payroll_Data_Analysis[[#This Row],[Base Salary (Monthly)]]&gt;=200000,69507,IF(Payroll_Data_Analysis[[#This Row],[Base Salary (Monthly)]]&gt;=145000,52684,35103))</f>
        <v>35103</v>
      </c>
      <c r="U534" s="7">
        <f>Payroll_Data_Analysis[[#This Row],[Annual KPI Bonus Reserve]]+Payroll_Data_Analysis[[#This Row],[Vacation Reserve]]+Payroll_Data_Analysis[[#This Row],[11-Month Salary]]</f>
        <v>1532044.5051194539</v>
      </c>
      <c r="V534" s="7">
        <f>Payroll_Data_Analysis[[#This Row],[Payroll Taxes (KPI Bonus)]]+Payroll_Data_Analysis[[#This Row],[Payroll Taxes (Vacation)]]+Payroll_Data_Analysis[[#This Row],[Payroll Taxes (Salary)]]</f>
        <v>462677.44054607511</v>
      </c>
      <c r="W534" s="13">
        <f>Payroll_Data_Analysis[[#This Row],[Total Payroll]]+Payroll_Data_Analysis[[#This Row],[Total Payroll Taxes]]</f>
        <v>1994721.945665529</v>
      </c>
    </row>
    <row r="535" spans="1:23">
      <c r="A535" s="11" t="s">
        <v>669</v>
      </c>
      <c r="B535" s="5" t="s">
        <v>538</v>
      </c>
      <c r="C535" s="18" t="s">
        <v>705</v>
      </c>
      <c r="D535" s="28" t="str">
        <f>VLOOKUP(Payroll_Data_Analysis[[#This Row],[Position]],Position_Map!$A$2:$B$58,2,FALSE)</f>
        <v>Professional</v>
      </c>
      <c r="E535" s="6">
        <v>1</v>
      </c>
      <c r="F535" s="7">
        <v>105800</v>
      </c>
      <c r="G535" s="7">
        <v>60000</v>
      </c>
      <c r="H535" s="7"/>
      <c r="I535" s="7">
        <f>dataset!$F535-dataset!$J535-dataset!$G535-dataset!$H535</f>
        <v>41000</v>
      </c>
      <c r="J535" s="7">
        <f>dataset!$G535*0.08</f>
        <v>4800</v>
      </c>
      <c r="K535" s="7">
        <f>dataset!$F535*12</f>
        <v>1269600</v>
      </c>
      <c r="L535" s="12">
        <f>IF(dataset!$G535&gt;=200000,38%,IF(dataset!$G535&lt;=145000,12.3%,))</f>
        <v>0.12300000000000001</v>
      </c>
      <c r="M535" s="7">
        <f>dataset!$G535*L536*12</f>
        <v>88560.000000000015</v>
      </c>
      <c r="N53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35" s="7">
        <f>dataset!$K535+dataset!$M535</f>
        <v>1358160</v>
      </c>
      <c r="P535" s="7">
        <f>Payroll_Data_Analysis[[#This Row],[Annual Salary + KPI Bonus]]/12/29.3*31</f>
        <v>119746.75767918088</v>
      </c>
      <c r="Q535" s="7">
        <f>IF(Payroll_Data_Analysis[[#This Row],[Vacation Reserve]]&lt;=2979000,Payroll_Data_Analysis[[#This Row],[Vacation Reserve]]*0.302,2979000*0.302+(Payroll_Data_Analysis[[#This Row],[Vacation Reserve]]-2979000)*0.151)</f>
        <v>36163.520819112622</v>
      </c>
      <c r="R535" s="7">
        <f>Payroll_Data_Analysis[[#This Row],[Monthly Salary]]*11</f>
        <v>1163800</v>
      </c>
      <c r="S535" s="7">
        <f>IF(Payroll_Data_Analysis[[#This Row],[11-Month Salary]]&lt;=2979000,Payroll_Data_Analysis[[#This Row],[11-Month Salary]]*0.302,2979000*0.302+(Payroll_Data_Analysis[[#This Row],[11-Month Salary]]-2979000)*0.151)</f>
        <v>351467.6</v>
      </c>
      <c r="T535" s="7">
        <f>IF(Payroll_Data_Analysis[[#This Row],[Base Salary (Monthly)]]&gt;=200000,69507,IF(Payroll_Data_Analysis[[#This Row],[Base Salary (Monthly)]]&gt;=145000,52684,35103))</f>
        <v>35103</v>
      </c>
      <c r="U535" s="7">
        <f>Payroll_Data_Analysis[[#This Row],[Annual KPI Bonus Reserve]]+Payroll_Data_Analysis[[#This Row],[Vacation Reserve]]+Payroll_Data_Analysis[[#This Row],[11-Month Salary]]</f>
        <v>1372106.7576791809</v>
      </c>
      <c r="V535" s="7">
        <f>Payroll_Data_Analysis[[#This Row],[Payroll Taxes (KPI Bonus)]]+Payroll_Data_Analysis[[#This Row],[Payroll Taxes (Vacation)]]+Payroll_Data_Analysis[[#This Row],[Payroll Taxes (Salary)]]</f>
        <v>414376.24081911263</v>
      </c>
      <c r="W535" s="13">
        <f>Payroll_Data_Analysis[[#This Row],[Total Payroll]]+Payroll_Data_Analysis[[#This Row],[Total Payroll Taxes]]</f>
        <v>1786482.9984982936</v>
      </c>
    </row>
    <row r="536" spans="1:23">
      <c r="A536" s="11" t="s">
        <v>669</v>
      </c>
      <c r="B536" s="5" t="s">
        <v>539</v>
      </c>
      <c r="C536" s="18" t="s">
        <v>705</v>
      </c>
      <c r="D536" s="28" t="str">
        <f>VLOOKUP(Payroll_Data_Analysis[[#This Row],[Position]],Position_Map!$A$2:$B$58,2,FALSE)</f>
        <v>Professional</v>
      </c>
      <c r="E536" s="6">
        <v>1</v>
      </c>
      <c r="F536" s="7">
        <v>84800</v>
      </c>
      <c r="G536" s="7">
        <v>60000</v>
      </c>
      <c r="H536" s="7"/>
      <c r="I536" s="7">
        <f>dataset!$F536-dataset!$J536-dataset!$G536-dataset!$H536</f>
        <v>20000</v>
      </c>
      <c r="J536" s="7">
        <f>dataset!$G536*0.08</f>
        <v>4800</v>
      </c>
      <c r="K536" s="7">
        <f>dataset!$F536*12</f>
        <v>1017600</v>
      </c>
      <c r="L536" s="12">
        <f>IF(dataset!$G536&gt;=200000,38%,IF(dataset!$G536&lt;=145000,12.3%,))</f>
        <v>0.12300000000000001</v>
      </c>
      <c r="M536" s="7">
        <f>dataset!$G536*L537*12</f>
        <v>88560.000000000015</v>
      </c>
      <c r="N53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36" s="7">
        <f>dataset!$K536+dataset!$M536</f>
        <v>1106160</v>
      </c>
      <c r="P536" s="7">
        <f>Payroll_Data_Analysis[[#This Row],[Annual Salary + KPI Bonus]]/12/29.3*31</f>
        <v>97528.327645051191</v>
      </c>
      <c r="Q536" s="7">
        <f>IF(Payroll_Data_Analysis[[#This Row],[Vacation Reserve]]&lt;=2979000,Payroll_Data_Analysis[[#This Row],[Vacation Reserve]]*0.302,2979000*0.302+(Payroll_Data_Analysis[[#This Row],[Vacation Reserve]]-2979000)*0.151)</f>
        <v>29453.55494880546</v>
      </c>
      <c r="R536" s="7">
        <f>Payroll_Data_Analysis[[#This Row],[Monthly Salary]]*11</f>
        <v>932800</v>
      </c>
      <c r="S536" s="7">
        <f>IF(Payroll_Data_Analysis[[#This Row],[11-Month Salary]]&lt;=2979000,Payroll_Data_Analysis[[#This Row],[11-Month Salary]]*0.302,2979000*0.302+(Payroll_Data_Analysis[[#This Row],[11-Month Salary]]-2979000)*0.151)</f>
        <v>281705.59999999998</v>
      </c>
      <c r="T536" s="7">
        <f>IF(Payroll_Data_Analysis[[#This Row],[Base Salary (Monthly)]]&gt;=200000,69507,IF(Payroll_Data_Analysis[[#This Row],[Base Salary (Monthly)]]&gt;=145000,52684,35103))</f>
        <v>35103</v>
      </c>
      <c r="U536" s="7">
        <f>Payroll_Data_Analysis[[#This Row],[Annual KPI Bonus Reserve]]+Payroll_Data_Analysis[[#This Row],[Vacation Reserve]]+Payroll_Data_Analysis[[#This Row],[11-Month Salary]]</f>
        <v>1118888.3276450513</v>
      </c>
      <c r="V536" s="7">
        <f>Payroll_Data_Analysis[[#This Row],[Payroll Taxes (KPI Bonus)]]+Payroll_Data_Analysis[[#This Row],[Payroll Taxes (Vacation)]]+Payroll_Data_Analysis[[#This Row],[Payroll Taxes (Salary)]]</f>
        <v>337904.27494880545</v>
      </c>
      <c r="W536" s="13">
        <f>Payroll_Data_Analysis[[#This Row],[Total Payroll]]+Payroll_Data_Analysis[[#This Row],[Total Payroll Taxes]]</f>
        <v>1456792.6025938569</v>
      </c>
    </row>
    <row r="537" spans="1:23">
      <c r="A537" s="11" t="s">
        <v>669</v>
      </c>
      <c r="B537" s="5" t="s">
        <v>540</v>
      </c>
      <c r="C537" s="18" t="s">
        <v>705</v>
      </c>
      <c r="D537" s="28" t="str">
        <f>VLOOKUP(Payroll_Data_Analysis[[#This Row],[Position]],Position_Map!$A$2:$B$58,2,FALSE)</f>
        <v>Professional</v>
      </c>
      <c r="E537" s="6">
        <v>1</v>
      </c>
      <c r="F537" s="7">
        <v>84000</v>
      </c>
      <c r="G537" s="7">
        <v>60000</v>
      </c>
      <c r="H537" s="7"/>
      <c r="I537" s="7">
        <f>dataset!$F537-dataset!$J537-dataset!$G537-dataset!$H537</f>
        <v>19200</v>
      </c>
      <c r="J537" s="7">
        <f>dataset!$G537*0.08</f>
        <v>4800</v>
      </c>
      <c r="K537" s="7">
        <f>dataset!$F537*12</f>
        <v>1008000</v>
      </c>
      <c r="L537" s="12">
        <f>IF(dataset!$G537&gt;=200000,38%,IF(dataset!$G537&lt;=145000,12.3%,))</f>
        <v>0.12300000000000001</v>
      </c>
      <c r="M537" s="7">
        <f>dataset!$G537*L538*12</f>
        <v>88560.000000000015</v>
      </c>
      <c r="N53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37" s="7">
        <f>dataset!$K537+dataset!$M537</f>
        <v>1096560</v>
      </c>
      <c r="P537" s="7">
        <f>Payroll_Data_Analysis[[#This Row],[Annual Salary + KPI Bonus]]/12/29.3*31</f>
        <v>96681.911262798632</v>
      </c>
      <c r="Q537" s="7">
        <f>IF(Payroll_Data_Analysis[[#This Row],[Vacation Reserve]]&lt;=2979000,Payroll_Data_Analysis[[#This Row],[Vacation Reserve]]*0.302,2979000*0.302+(Payroll_Data_Analysis[[#This Row],[Vacation Reserve]]-2979000)*0.151)</f>
        <v>29197.937201365185</v>
      </c>
      <c r="R537" s="7">
        <f>Payroll_Data_Analysis[[#This Row],[Monthly Salary]]*11</f>
        <v>924000</v>
      </c>
      <c r="S537" s="7">
        <f>IF(Payroll_Data_Analysis[[#This Row],[11-Month Salary]]&lt;=2979000,Payroll_Data_Analysis[[#This Row],[11-Month Salary]]*0.302,2979000*0.302+(Payroll_Data_Analysis[[#This Row],[11-Month Salary]]-2979000)*0.151)</f>
        <v>279048</v>
      </c>
      <c r="T537" s="7">
        <f>IF(Payroll_Data_Analysis[[#This Row],[Base Salary (Monthly)]]&gt;=200000,69507,IF(Payroll_Data_Analysis[[#This Row],[Base Salary (Monthly)]]&gt;=145000,52684,35103))</f>
        <v>35103</v>
      </c>
      <c r="U537" s="7">
        <f>Payroll_Data_Analysis[[#This Row],[Annual KPI Bonus Reserve]]+Payroll_Data_Analysis[[#This Row],[Vacation Reserve]]+Payroll_Data_Analysis[[#This Row],[11-Month Salary]]</f>
        <v>1109241.9112627986</v>
      </c>
      <c r="V537" s="7">
        <f>Payroll_Data_Analysis[[#This Row],[Payroll Taxes (KPI Bonus)]]+Payroll_Data_Analysis[[#This Row],[Payroll Taxes (Vacation)]]+Payroll_Data_Analysis[[#This Row],[Payroll Taxes (Salary)]]</f>
        <v>334991.05720136518</v>
      </c>
      <c r="W537" s="13">
        <f>Payroll_Data_Analysis[[#This Row],[Total Payroll]]+Payroll_Data_Analysis[[#This Row],[Total Payroll Taxes]]</f>
        <v>1444232.9684641638</v>
      </c>
    </row>
    <row r="538" spans="1:23">
      <c r="A538" s="11" t="s">
        <v>669</v>
      </c>
      <c r="B538" s="5" t="s">
        <v>541</v>
      </c>
      <c r="C538" s="18" t="s">
        <v>705</v>
      </c>
      <c r="D538" s="28" t="str">
        <f>VLOOKUP(Payroll_Data_Analysis[[#This Row],[Position]],Position_Map!$A$2:$B$58,2,FALSE)</f>
        <v>Professional</v>
      </c>
      <c r="E538" s="6">
        <v>1</v>
      </c>
      <c r="F538" s="7">
        <v>138000</v>
      </c>
      <c r="G538" s="7">
        <v>100000</v>
      </c>
      <c r="H538" s="7"/>
      <c r="I538" s="7">
        <f>dataset!$F538-dataset!$J538-dataset!$G538-dataset!$H538</f>
        <v>30000</v>
      </c>
      <c r="J538" s="7">
        <f>dataset!$G538*0.08</f>
        <v>8000</v>
      </c>
      <c r="K538" s="7">
        <f>dataset!$F538*12</f>
        <v>1656000</v>
      </c>
      <c r="L538" s="12">
        <f>IF(dataset!$G538&gt;=200000,38%,IF(dataset!$G538&lt;=145000,12.3%,))</f>
        <v>0.12300000000000001</v>
      </c>
      <c r="M538" s="7">
        <f>dataset!$G538*L539*12</f>
        <v>147600.00000000003</v>
      </c>
      <c r="N53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38" s="7">
        <f>dataset!$K538+dataset!$M538</f>
        <v>1803600</v>
      </c>
      <c r="P538" s="7">
        <f>Payroll_Data_Analysis[[#This Row],[Annual Salary + KPI Bonus]]/12/29.3*31</f>
        <v>159020.47781569965</v>
      </c>
      <c r="Q538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538" s="7">
        <f>Payroll_Data_Analysis[[#This Row],[Monthly Salary]]*11</f>
        <v>1518000</v>
      </c>
      <c r="S538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538" s="7">
        <f>IF(Payroll_Data_Analysis[[#This Row],[Base Salary (Monthly)]]&gt;=200000,69507,IF(Payroll_Data_Analysis[[#This Row],[Base Salary (Monthly)]]&gt;=145000,52684,35103))</f>
        <v>35103</v>
      </c>
      <c r="U538" s="7">
        <f>Payroll_Data_Analysis[[#This Row],[Annual KPI Bonus Reserve]]+Payroll_Data_Analysis[[#This Row],[Vacation Reserve]]+Payroll_Data_Analysis[[#This Row],[11-Month Salary]]</f>
        <v>1824620.4778156998</v>
      </c>
      <c r="V538" s="7">
        <f>Payroll_Data_Analysis[[#This Row],[Payroll Taxes (KPI Bonus)]]+Payroll_Data_Analysis[[#This Row],[Payroll Taxes (Vacation)]]+Payroll_Data_Analysis[[#This Row],[Payroll Taxes (Salary)]]</f>
        <v>551035.38430034136</v>
      </c>
      <c r="W538" s="13">
        <f>Payroll_Data_Analysis[[#This Row],[Total Payroll]]+Payroll_Data_Analysis[[#This Row],[Total Payroll Taxes]]</f>
        <v>2375655.8621160411</v>
      </c>
    </row>
    <row r="539" spans="1:23">
      <c r="A539" s="11" t="s">
        <v>669</v>
      </c>
      <c r="B539" s="5" t="s">
        <v>542</v>
      </c>
      <c r="C539" s="18" t="s">
        <v>705</v>
      </c>
      <c r="D539" s="28" t="str">
        <f>VLOOKUP(Payroll_Data_Analysis[[#This Row],[Position]],Position_Map!$A$2:$B$58,2,FALSE)</f>
        <v>Professional</v>
      </c>
      <c r="E539" s="6">
        <v>1</v>
      </c>
      <c r="F539" s="7">
        <v>99800</v>
      </c>
      <c r="G539" s="7">
        <v>60000</v>
      </c>
      <c r="H539" s="7"/>
      <c r="I539" s="7">
        <f>dataset!$F539-dataset!$J539-dataset!$G539-dataset!$H539</f>
        <v>35000</v>
      </c>
      <c r="J539" s="7">
        <f>dataset!$G539*0.08</f>
        <v>4800</v>
      </c>
      <c r="K539" s="7">
        <f>dataset!$F539*12</f>
        <v>1197600</v>
      </c>
      <c r="L539" s="12">
        <f>IF(dataset!$G539&gt;=200000,38%,IF(dataset!$G539&lt;=145000,12.3%,))</f>
        <v>0.12300000000000001</v>
      </c>
      <c r="M539" s="7">
        <f>dataset!$G539*L540*12</f>
        <v>88560.000000000015</v>
      </c>
      <c r="N53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39" s="7">
        <f>dataset!$K539+dataset!$M539</f>
        <v>1286160</v>
      </c>
      <c r="P539" s="7">
        <f>Payroll_Data_Analysis[[#This Row],[Annual Salary + KPI Bonus]]/12/29.3*31</f>
        <v>113398.63481228668</v>
      </c>
      <c r="Q539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539" s="7">
        <f>Payroll_Data_Analysis[[#This Row],[Monthly Salary]]*11</f>
        <v>1097800</v>
      </c>
      <c r="S539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539" s="7">
        <f>IF(Payroll_Data_Analysis[[#This Row],[Base Salary (Monthly)]]&gt;=200000,69507,IF(Payroll_Data_Analysis[[#This Row],[Base Salary (Monthly)]]&gt;=145000,52684,35103))</f>
        <v>35103</v>
      </c>
      <c r="U539" s="7">
        <f>Payroll_Data_Analysis[[#This Row],[Annual KPI Bonus Reserve]]+Payroll_Data_Analysis[[#This Row],[Vacation Reserve]]+Payroll_Data_Analysis[[#This Row],[11-Month Salary]]</f>
        <v>1299758.6348122866</v>
      </c>
      <c r="V539" s="7">
        <f>Payroll_Data_Analysis[[#This Row],[Payroll Taxes (KPI Bonus)]]+Payroll_Data_Analysis[[#This Row],[Payroll Taxes (Vacation)]]+Payroll_Data_Analysis[[#This Row],[Payroll Taxes (Salary)]]</f>
        <v>392527.10771331057</v>
      </c>
      <c r="W539" s="13">
        <f>Payroll_Data_Analysis[[#This Row],[Total Payroll]]+Payroll_Data_Analysis[[#This Row],[Total Payroll Taxes]]</f>
        <v>1692285.7425255971</v>
      </c>
    </row>
    <row r="540" spans="1:23" ht="20.25" customHeight="1">
      <c r="A540" s="11" t="s">
        <v>671</v>
      </c>
      <c r="B540" s="5" t="s">
        <v>543</v>
      </c>
      <c r="C540" s="5" t="s">
        <v>744</v>
      </c>
      <c r="D540" s="28" t="str">
        <f>VLOOKUP(Payroll_Data_Analysis[[#This Row],[Position]],Position_Map!$A$2:$B$58,2,FALSE)</f>
        <v>Executive</v>
      </c>
      <c r="E540" s="6">
        <v>1</v>
      </c>
      <c r="F540" s="7">
        <v>261600</v>
      </c>
      <c r="G540" s="7">
        <v>145000</v>
      </c>
      <c r="H540" s="7"/>
      <c r="I540" s="7">
        <f>dataset!$F540-dataset!$J540-dataset!$G540-dataset!$H540</f>
        <v>105000</v>
      </c>
      <c r="J540" s="7">
        <f>dataset!$G540*0.08</f>
        <v>11600</v>
      </c>
      <c r="K540" s="7">
        <f>dataset!$F540*12</f>
        <v>3139200</v>
      </c>
      <c r="L540" s="12">
        <f>IF(dataset!$G540&gt;=200000,38%,IF(dataset!$G540&lt;=145000,12.3%,))</f>
        <v>0.12300000000000001</v>
      </c>
      <c r="M540" s="7">
        <f>dataset!$G540*L541*12</f>
        <v>214020</v>
      </c>
      <c r="N54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40" s="7">
        <f>dataset!$K540+dataset!$M540</f>
        <v>3353220</v>
      </c>
      <c r="P540" s="7">
        <f>Payroll_Data_Analysis[[#This Row],[Annual Salary + KPI Bonus]]/12/29.3*31</f>
        <v>295647.95221843006</v>
      </c>
      <c r="Q540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540" s="7">
        <f>Payroll_Data_Analysis[[#This Row],[Monthly Salary]]*11</f>
        <v>2877600</v>
      </c>
      <c r="S540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540" s="7">
        <f>IF(Payroll_Data_Analysis[[#This Row],[Base Salary (Monthly)]]&gt;=200000,69507,IF(Payroll_Data_Analysis[[#This Row],[Base Salary (Monthly)]]&gt;=145000,52684,35103))</f>
        <v>52684</v>
      </c>
      <c r="U540" s="7">
        <f>Payroll_Data_Analysis[[#This Row],[Annual KPI Bonus Reserve]]+Payroll_Data_Analysis[[#This Row],[Vacation Reserve]]+Payroll_Data_Analysis[[#This Row],[11-Month Salary]]</f>
        <v>3387267.9522184301</v>
      </c>
      <c r="V540" s="7">
        <f>Payroll_Data_Analysis[[#This Row],[Payroll Taxes (KPI Bonus)]]+Payroll_Data_Analysis[[#This Row],[Payroll Taxes (Vacation)]]+Payroll_Data_Analysis[[#This Row],[Payroll Taxes (Salary)]]</f>
        <v>1022954.9215699658</v>
      </c>
      <c r="W540" s="13">
        <f>Payroll_Data_Analysis[[#This Row],[Total Payroll]]+Payroll_Data_Analysis[[#This Row],[Total Payroll Taxes]]</f>
        <v>4410222.8737883959</v>
      </c>
    </row>
    <row r="541" spans="1:23">
      <c r="A541" s="11" t="s">
        <v>671</v>
      </c>
      <c r="B541" s="5" t="s">
        <v>544</v>
      </c>
      <c r="C541" s="5" t="s">
        <v>745</v>
      </c>
      <c r="D541" s="28" t="str">
        <f>VLOOKUP(Payroll_Data_Analysis[[#This Row],[Position]],Position_Map!$A$2:$B$58,2,FALSE)</f>
        <v>Professional</v>
      </c>
      <c r="E541" s="6">
        <v>1</v>
      </c>
      <c r="F541" s="7">
        <v>138000</v>
      </c>
      <c r="G541" s="7">
        <v>100000</v>
      </c>
      <c r="H541" s="7"/>
      <c r="I541" s="7">
        <f>dataset!$F541-dataset!$J541-dataset!$G541-dataset!$H541</f>
        <v>30000</v>
      </c>
      <c r="J541" s="7">
        <f>dataset!$G541*0.08</f>
        <v>8000</v>
      </c>
      <c r="K541" s="7">
        <f>dataset!$F541*12</f>
        <v>1656000</v>
      </c>
      <c r="L541" s="12">
        <f>IF(dataset!$G541&gt;=200000,38%,IF(dataset!$G541&lt;=145000,12.3%,))</f>
        <v>0.12300000000000001</v>
      </c>
      <c r="M541" s="7">
        <f>dataset!$G541*L542*12</f>
        <v>147600.00000000003</v>
      </c>
      <c r="N54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41" s="7">
        <f>dataset!$K541+dataset!$M541</f>
        <v>1803600</v>
      </c>
      <c r="P541" s="7">
        <f>Payroll_Data_Analysis[[#This Row],[Annual Salary + KPI Bonus]]/12/29.3*31</f>
        <v>159020.47781569965</v>
      </c>
      <c r="Q541" s="7">
        <f>IF(Payroll_Data_Analysis[[#This Row],[Vacation Reserve]]&lt;=2979000,Payroll_Data_Analysis[[#This Row],[Vacation Reserve]]*0.302,2979000*0.302+(Payroll_Data_Analysis[[#This Row],[Vacation Reserve]]-2979000)*0.151)</f>
        <v>48024.184300341294</v>
      </c>
      <c r="R541" s="7">
        <f>Payroll_Data_Analysis[[#This Row],[Monthly Salary]]*11</f>
        <v>1518000</v>
      </c>
      <c r="S541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541" s="7">
        <f>IF(Payroll_Data_Analysis[[#This Row],[Base Salary (Monthly)]]&gt;=200000,69507,IF(Payroll_Data_Analysis[[#This Row],[Base Salary (Monthly)]]&gt;=145000,52684,35103))</f>
        <v>35103</v>
      </c>
      <c r="U541" s="7">
        <f>Payroll_Data_Analysis[[#This Row],[Annual KPI Bonus Reserve]]+Payroll_Data_Analysis[[#This Row],[Vacation Reserve]]+Payroll_Data_Analysis[[#This Row],[11-Month Salary]]</f>
        <v>1824620.4778156998</v>
      </c>
      <c r="V541" s="7">
        <f>Payroll_Data_Analysis[[#This Row],[Payroll Taxes (KPI Bonus)]]+Payroll_Data_Analysis[[#This Row],[Payroll Taxes (Vacation)]]+Payroll_Data_Analysis[[#This Row],[Payroll Taxes (Salary)]]</f>
        <v>551035.38430034136</v>
      </c>
      <c r="W541" s="13">
        <f>Payroll_Data_Analysis[[#This Row],[Total Payroll]]+Payroll_Data_Analysis[[#This Row],[Total Payroll Taxes]]</f>
        <v>2375655.8621160411</v>
      </c>
    </row>
    <row r="542" spans="1:23">
      <c r="A542" s="11" t="s">
        <v>671</v>
      </c>
      <c r="B542" s="5" t="s">
        <v>545</v>
      </c>
      <c r="C542" s="5" t="s">
        <v>705</v>
      </c>
      <c r="D542" s="28" t="str">
        <f>VLOOKUP(Payroll_Data_Analysis[[#This Row],[Position]],Position_Map!$A$2:$B$58,2,FALSE)</f>
        <v>Professional</v>
      </c>
      <c r="E542" s="6">
        <v>1</v>
      </c>
      <c r="F542" s="7">
        <v>118400</v>
      </c>
      <c r="G542" s="7">
        <v>80000</v>
      </c>
      <c r="H542" s="7"/>
      <c r="I542" s="7">
        <f>dataset!$F542-dataset!$J542-dataset!$G542-dataset!$H542</f>
        <v>32000</v>
      </c>
      <c r="J542" s="7">
        <f>dataset!$G542*0.08</f>
        <v>6400</v>
      </c>
      <c r="K542" s="7">
        <f>dataset!$F542*12</f>
        <v>1420800</v>
      </c>
      <c r="L542" s="12">
        <f>IF(dataset!$G542&gt;=200000,38%,IF(dataset!$G542&lt;=145000,12.3%,))</f>
        <v>0.12300000000000001</v>
      </c>
      <c r="M542" s="7">
        <f>dataset!$G542*L543*12</f>
        <v>118080.00000000003</v>
      </c>
      <c r="N54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42" s="7">
        <f>dataset!$K542+dataset!$M542</f>
        <v>1538880</v>
      </c>
      <c r="P542" s="7">
        <f>Payroll_Data_Analysis[[#This Row],[Annual Salary + KPI Bonus]]/12/29.3*31</f>
        <v>135680.54607508532</v>
      </c>
      <c r="Q542" s="7">
        <f>IF(Payroll_Data_Analysis[[#This Row],[Vacation Reserve]]&lt;=2979000,Payroll_Data_Analysis[[#This Row],[Vacation Reserve]]*0.302,2979000*0.302+(Payroll_Data_Analysis[[#This Row],[Vacation Reserve]]-2979000)*0.151)</f>
        <v>40975.524914675763</v>
      </c>
      <c r="R542" s="7">
        <f>Payroll_Data_Analysis[[#This Row],[Monthly Salary]]*11</f>
        <v>1302400</v>
      </c>
      <c r="S542" s="7">
        <f>IF(Payroll_Data_Analysis[[#This Row],[11-Month Salary]]&lt;=2979000,Payroll_Data_Analysis[[#This Row],[11-Month Salary]]*0.302,2979000*0.302+(Payroll_Data_Analysis[[#This Row],[11-Month Salary]]-2979000)*0.151)</f>
        <v>393324.79999999999</v>
      </c>
      <c r="T542" s="7">
        <f>IF(Payroll_Data_Analysis[[#This Row],[Base Salary (Monthly)]]&gt;=200000,69507,IF(Payroll_Data_Analysis[[#This Row],[Base Salary (Monthly)]]&gt;=145000,52684,35103))</f>
        <v>35103</v>
      </c>
      <c r="U542" s="7">
        <f>Payroll_Data_Analysis[[#This Row],[Annual KPI Bonus Reserve]]+Payroll_Data_Analysis[[#This Row],[Vacation Reserve]]+Payroll_Data_Analysis[[#This Row],[11-Month Salary]]</f>
        <v>1556160.5460750854</v>
      </c>
      <c r="V542" s="7">
        <f>Payroll_Data_Analysis[[#This Row],[Payroll Taxes (KPI Bonus)]]+Payroll_Data_Analysis[[#This Row],[Payroll Taxes (Vacation)]]+Payroll_Data_Analysis[[#This Row],[Payroll Taxes (Salary)]]</f>
        <v>469960.48491467576</v>
      </c>
      <c r="W542" s="13">
        <f>Payroll_Data_Analysis[[#This Row],[Total Payroll]]+Payroll_Data_Analysis[[#This Row],[Total Payroll Taxes]]</f>
        <v>2026121.0309897612</v>
      </c>
    </row>
    <row r="543" spans="1:23">
      <c r="A543" s="11" t="s">
        <v>672</v>
      </c>
      <c r="B543" s="5" t="s">
        <v>546</v>
      </c>
      <c r="C543" s="5" t="s">
        <v>746</v>
      </c>
      <c r="D543" s="28" t="str">
        <f>VLOOKUP(Payroll_Data_Analysis[[#This Row],[Position]],Position_Map!$A$2:$B$58,2,FALSE)</f>
        <v>Management</v>
      </c>
      <c r="E543" s="6">
        <v>1</v>
      </c>
      <c r="F543" s="7">
        <v>186600</v>
      </c>
      <c r="G543" s="7">
        <v>145000</v>
      </c>
      <c r="H543" s="7"/>
      <c r="I543" s="7">
        <f>dataset!$F543-dataset!$J543-dataset!$G543-dataset!$H543</f>
        <v>30000</v>
      </c>
      <c r="J543" s="7">
        <f>dataset!$G543*0.08</f>
        <v>11600</v>
      </c>
      <c r="K543" s="7">
        <f>dataset!$F543*12</f>
        <v>2239200</v>
      </c>
      <c r="L543" s="12">
        <f>IF(dataset!$G543&gt;=200000,38%,IF(dataset!$G543&lt;=145000,12.3%,))</f>
        <v>0.12300000000000001</v>
      </c>
      <c r="M543" s="7">
        <f>dataset!$G543*L544*12</f>
        <v>214020</v>
      </c>
      <c r="N543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43" s="7">
        <f>dataset!$K543+dataset!$M543</f>
        <v>2453220</v>
      </c>
      <c r="P543" s="7">
        <f>Payroll_Data_Analysis[[#This Row],[Annual Salary + KPI Bonus]]/12/29.3*31</f>
        <v>216296.41638225256</v>
      </c>
      <c r="Q543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543" s="7">
        <f>Payroll_Data_Analysis[[#This Row],[Monthly Salary]]*11</f>
        <v>2052600</v>
      </c>
      <c r="S543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543" s="7">
        <f>IF(Payroll_Data_Analysis[[#This Row],[Base Salary (Monthly)]]&gt;=200000,69507,IF(Payroll_Data_Analysis[[#This Row],[Base Salary (Monthly)]]&gt;=145000,52684,35103))</f>
        <v>52684</v>
      </c>
      <c r="U543" s="7">
        <f>Payroll_Data_Analysis[[#This Row],[Annual KPI Bonus Reserve]]+Payroll_Data_Analysis[[#This Row],[Vacation Reserve]]+Payroll_Data_Analysis[[#This Row],[11-Month Salary]]</f>
        <v>2482916.4163822527</v>
      </c>
      <c r="V543" s="7">
        <f>Payroll_Data_Analysis[[#This Row],[Payroll Taxes (KPI Bonus)]]+Payroll_Data_Analysis[[#This Row],[Payroll Taxes (Vacation)]]+Payroll_Data_Analysis[[#This Row],[Payroll Taxes (Salary)]]</f>
        <v>749840.75774744025</v>
      </c>
      <c r="W543" s="13">
        <f>Payroll_Data_Analysis[[#This Row],[Total Payroll]]+Payroll_Data_Analysis[[#This Row],[Total Payroll Taxes]]</f>
        <v>3232757.1741296928</v>
      </c>
    </row>
    <row r="544" spans="1:23">
      <c r="A544" s="11" t="s">
        <v>672</v>
      </c>
      <c r="B544" s="5" t="s">
        <v>547</v>
      </c>
      <c r="C544" s="5" t="s">
        <v>705</v>
      </c>
      <c r="D544" s="28" t="str">
        <f>VLOOKUP(Payroll_Data_Analysis[[#This Row],[Position]],Position_Map!$A$2:$B$58,2,FALSE)</f>
        <v>Professional</v>
      </c>
      <c r="E544" s="6">
        <v>1</v>
      </c>
      <c r="F544" s="7">
        <v>90800</v>
      </c>
      <c r="G544" s="7">
        <v>80000</v>
      </c>
      <c r="H544" s="7"/>
      <c r="I544" s="7">
        <f>dataset!$F544-dataset!$J544-dataset!$G544-dataset!$H544</f>
        <v>4400</v>
      </c>
      <c r="J544" s="7">
        <f>dataset!$G544*0.08</f>
        <v>6400</v>
      </c>
      <c r="K544" s="7">
        <f>dataset!$F544*12</f>
        <v>1089600</v>
      </c>
      <c r="L544" s="12">
        <f>IF(dataset!$G544&gt;=200000,38%,IF(dataset!$G544&lt;=145000,12.3%,))</f>
        <v>0.12300000000000001</v>
      </c>
      <c r="M544" s="7">
        <f>dataset!$G544*L545*12</f>
        <v>118080.00000000003</v>
      </c>
      <c r="N54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44" s="7">
        <f>dataset!$K544+dataset!$M544</f>
        <v>1207680</v>
      </c>
      <c r="P544" s="7">
        <f>Payroll_Data_Analysis[[#This Row],[Annual Salary + KPI Bonus]]/12/29.3*31</f>
        <v>106479.180887372</v>
      </c>
      <c r="Q544" s="7">
        <f>IF(Payroll_Data_Analysis[[#This Row],[Vacation Reserve]]&lt;=2979000,Payroll_Data_Analysis[[#This Row],[Vacation Reserve]]*0.302,2979000*0.302+(Payroll_Data_Analysis[[#This Row],[Vacation Reserve]]-2979000)*0.151)</f>
        <v>32156.712627986344</v>
      </c>
      <c r="R544" s="7">
        <f>Payroll_Data_Analysis[[#This Row],[Monthly Salary]]*11</f>
        <v>998800</v>
      </c>
      <c r="S544" s="7">
        <f>IF(Payroll_Data_Analysis[[#This Row],[11-Month Salary]]&lt;=2979000,Payroll_Data_Analysis[[#This Row],[11-Month Salary]]*0.302,2979000*0.302+(Payroll_Data_Analysis[[#This Row],[11-Month Salary]]-2979000)*0.151)</f>
        <v>301637.59999999998</v>
      </c>
      <c r="T544" s="7">
        <f>IF(Payroll_Data_Analysis[[#This Row],[Base Salary (Monthly)]]&gt;=200000,69507,IF(Payroll_Data_Analysis[[#This Row],[Base Salary (Monthly)]]&gt;=145000,52684,35103))</f>
        <v>35103</v>
      </c>
      <c r="U544" s="7">
        <f>Payroll_Data_Analysis[[#This Row],[Annual KPI Bonus Reserve]]+Payroll_Data_Analysis[[#This Row],[Vacation Reserve]]+Payroll_Data_Analysis[[#This Row],[11-Month Salary]]</f>
        <v>1223359.180887372</v>
      </c>
      <c r="V544" s="7">
        <f>Payroll_Data_Analysis[[#This Row],[Payroll Taxes (KPI Bonus)]]+Payroll_Data_Analysis[[#This Row],[Payroll Taxes (Vacation)]]+Payroll_Data_Analysis[[#This Row],[Payroll Taxes (Salary)]]</f>
        <v>369454.47262798634</v>
      </c>
      <c r="W544" s="13">
        <f>Payroll_Data_Analysis[[#This Row],[Total Payroll]]+Payroll_Data_Analysis[[#This Row],[Total Payroll Taxes]]</f>
        <v>1592813.6535153585</v>
      </c>
    </row>
    <row r="545" spans="1:23">
      <c r="A545" s="11" t="s">
        <v>672</v>
      </c>
      <c r="B545" s="5" t="s">
        <v>548</v>
      </c>
      <c r="C545" s="5" t="s">
        <v>705</v>
      </c>
      <c r="D545" s="28" t="str">
        <f>VLOOKUP(Payroll_Data_Analysis[[#This Row],[Position]],Position_Map!$A$2:$B$58,2,FALSE)</f>
        <v>Professional</v>
      </c>
      <c r="E545" s="6">
        <v>1</v>
      </c>
      <c r="F545" s="7">
        <v>120000</v>
      </c>
      <c r="G545" s="7">
        <v>100000</v>
      </c>
      <c r="H545" s="7"/>
      <c r="I545" s="7">
        <f>dataset!$F545-dataset!$J545-dataset!$G545-dataset!$H545</f>
        <v>12000</v>
      </c>
      <c r="J545" s="7">
        <f>dataset!$G545*0.08</f>
        <v>8000</v>
      </c>
      <c r="K545" s="7">
        <f>dataset!$F545*12</f>
        <v>1440000</v>
      </c>
      <c r="L545" s="12">
        <f>IF(dataset!$G545&gt;=200000,38%,IF(dataset!$G545&lt;=145000,12.3%,))</f>
        <v>0.12300000000000001</v>
      </c>
      <c r="M545" s="7">
        <f>dataset!$G545*L546*12</f>
        <v>147600.00000000003</v>
      </c>
      <c r="N54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45" s="7">
        <f>dataset!$K545+dataset!$M545</f>
        <v>1587600</v>
      </c>
      <c r="P545" s="7">
        <f>Payroll_Data_Analysis[[#This Row],[Annual Salary + KPI Bonus]]/12/29.3*31</f>
        <v>139976.10921501706</v>
      </c>
      <c r="Q545" s="7">
        <f>IF(Payroll_Data_Analysis[[#This Row],[Vacation Reserve]]&lt;=2979000,Payroll_Data_Analysis[[#This Row],[Vacation Reserve]]*0.302,2979000*0.302+(Payroll_Data_Analysis[[#This Row],[Vacation Reserve]]-2979000)*0.151)</f>
        <v>42272.784982935147</v>
      </c>
      <c r="R545" s="7">
        <f>Payroll_Data_Analysis[[#This Row],[Monthly Salary]]*11</f>
        <v>1320000</v>
      </c>
      <c r="S545" s="7">
        <f>IF(Payroll_Data_Analysis[[#This Row],[11-Month Salary]]&lt;=2979000,Payroll_Data_Analysis[[#This Row],[11-Month Salary]]*0.302,2979000*0.302+(Payroll_Data_Analysis[[#This Row],[11-Month Salary]]-2979000)*0.151)</f>
        <v>398640</v>
      </c>
      <c r="T545" s="7">
        <f>IF(Payroll_Data_Analysis[[#This Row],[Base Salary (Monthly)]]&gt;=200000,69507,IF(Payroll_Data_Analysis[[#This Row],[Base Salary (Monthly)]]&gt;=145000,52684,35103))</f>
        <v>35103</v>
      </c>
      <c r="U545" s="7">
        <f>Payroll_Data_Analysis[[#This Row],[Annual KPI Bonus Reserve]]+Payroll_Data_Analysis[[#This Row],[Vacation Reserve]]+Payroll_Data_Analysis[[#This Row],[11-Month Salary]]</f>
        <v>1607576.1092150169</v>
      </c>
      <c r="V545" s="7">
        <f>Payroll_Data_Analysis[[#This Row],[Payroll Taxes (KPI Bonus)]]+Payroll_Data_Analysis[[#This Row],[Payroll Taxes (Vacation)]]+Payroll_Data_Analysis[[#This Row],[Payroll Taxes (Salary)]]</f>
        <v>485487.98498293513</v>
      </c>
      <c r="W545" s="13">
        <f>Payroll_Data_Analysis[[#This Row],[Total Payroll]]+Payroll_Data_Analysis[[#This Row],[Total Payroll Taxes]]</f>
        <v>2093064.0941979522</v>
      </c>
    </row>
    <row r="546" spans="1:23">
      <c r="A546" s="11" t="s">
        <v>672</v>
      </c>
      <c r="B546" s="5" t="s">
        <v>549</v>
      </c>
      <c r="C546" s="5" t="s">
        <v>705</v>
      </c>
      <c r="D546" s="28" t="str">
        <f>VLOOKUP(Payroll_Data_Analysis[[#This Row],[Position]],Position_Map!$A$2:$B$58,2,FALSE)</f>
        <v>Professional</v>
      </c>
      <c r="E546" s="6">
        <v>1</v>
      </c>
      <c r="F546" s="7">
        <v>158000</v>
      </c>
      <c r="G546" s="7">
        <v>100000</v>
      </c>
      <c r="H546" s="7"/>
      <c r="I546" s="7">
        <f>dataset!$F546-dataset!$J546-dataset!$G546-dataset!$H546</f>
        <v>50000</v>
      </c>
      <c r="J546" s="7">
        <f>dataset!$G546*0.08</f>
        <v>8000</v>
      </c>
      <c r="K546" s="7">
        <f>dataset!$F546*12</f>
        <v>1896000</v>
      </c>
      <c r="L546" s="12">
        <f>IF(dataset!$G546&gt;=200000,38%,IF(dataset!$G546&lt;=145000,12.3%,))</f>
        <v>0.12300000000000001</v>
      </c>
      <c r="M546" s="7">
        <f>dataset!$G546*L547*12</f>
        <v>147600.00000000003</v>
      </c>
      <c r="N54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46" s="7">
        <f>dataset!$K546+dataset!$M546</f>
        <v>2043600</v>
      </c>
      <c r="P546" s="7">
        <f>Payroll_Data_Analysis[[#This Row],[Annual Salary + KPI Bonus]]/12/29.3*31</f>
        <v>180180.88737201365</v>
      </c>
      <c r="Q546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46" s="7">
        <f>Payroll_Data_Analysis[[#This Row],[Monthly Salary]]*11</f>
        <v>1738000</v>
      </c>
      <c r="S546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46" s="7">
        <f>IF(Payroll_Data_Analysis[[#This Row],[Base Salary (Monthly)]]&gt;=200000,69507,IF(Payroll_Data_Analysis[[#This Row],[Base Salary (Monthly)]]&gt;=145000,52684,35103))</f>
        <v>35103</v>
      </c>
      <c r="U546" s="7">
        <f>Payroll_Data_Analysis[[#This Row],[Annual KPI Bonus Reserve]]+Payroll_Data_Analysis[[#This Row],[Vacation Reserve]]+Payroll_Data_Analysis[[#This Row],[11-Month Salary]]</f>
        <v>2065780.8873720136</v>
      </c>
      <c r="V546" s="7">
        <f>Payroll_Data_Analysis[[#This Row],[Payroll Taxes (KPI Bonus)]]+Payroll_Data_Analysis[[#This Row],[Payroll Taxes (Vacation)]]+Payroll_Data_Analysis[[#This Row],[Payroll Taxes (Salary)]]</f>
        <v>623865.82798634819</v>
      </c>
      <c r="W546" s="13">
        <f>Payroll_Data_Analysis[[#This Row],[Total Payroll]]+Payroll_Data_Analysis[[#This Row],[Total Payroll Taxes]]</f>
        <v>2689646.7153583616</v>
      </c>
    </row>
    <row r="547" spans="1:23">
      <c r="A547" s="11" t="s">
        <v>673</v>
      </c>
      <c r="B547" s="5" t="s">
        <v>550</v>
      </c>
      <c r="C547" s="5" t="s">
        <v>703</v>
      </c>
      <c r="D547" s="28" t="str">
        <f>VLOOKUP(Payroll_Data_Analysis[[#This Row],[Position]],Position_Map!$A$2:$B$58,2,FALSE)</f>
        <v>Management</v>
      </c>
      <c r="E547" s="6">
        <v>1</v>
      </c>
      <c r="F547" s="7">
        <v>271600</v>
      </c>
      <c r="G547" s="7">
        <v>145000</v>
      </c>
      <c r="H547" s="7"/>
      <c r="I547" s="7">
        <f>dataset!$F547-dataset!$J547-dataset!$G547-dataset!$H547</f>
        <v>115000</v>
      </c>
      <c r="J547" s="7">
        <f>dataset!$G547*0.08</f>
        <v>11600</v>
      </c>
      <c r="K547" s="7">
        <f>dataset!$F547*12</f>
        <v>3259200</v>
      </c>
      <c r="L547" s="12">
        <f>IF(dataset!$G547&gt;=200000,38%,IF(dataset!$G547&lt;=145000,12.3%,))</f>
        <v>0.12300000000000001</v>
      </c>
      <c r="M547" s="7">
        <f>dataset!$G547*L548*12</f>
        <v>214020</v>
      </c>
      <c r="N54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47" s="7">
        <f>dataset!$K547+dataset!$M547</f>
        <v>3473220</v>
      </c>
      <c r="P547" s="7">
        <f>Payroll_Data_Analysis[[#This Row],[Annual Salary + KPI Bonus]]/12/29.3*31</f>
        <v>306228.15699658706</v>
      </c>
      <c r="Q547" s="7">
        <f>IF(Payroll_Data_Analysis[[#This Row],[Vacation Reserve]]&lt;=2979000,Payroll_Data_Analysis[[#This Row],[Vacation Reserve]]*0.302,2979000*0.302+(Payroll_Data_Analysis[[#This Row],[Vacation Reserve]]-2979000)*0.151)</f>
        <v>92480.903412969288</v>
      </c>
      <c r="R547" s="7">
        <f>Payroll_Data_Analysis[[#This Row],[Monthly Salary]]*11</f>
        <v>2987600</v>
      </c>
      <c r="S547" s="7">
        <f>IF(Payroll_Data_Analysis[[#This Row],[11-Month Salary]]&lt;=2979000,Payroll_Data_Analysis[[#This Row],[11-Month Salary]]*0.302,2979000*0.302+(Payroll_Data_Analysis[[#This Row],[11-Month Salary]]-2979000)*0.151)</f>
        <v>900956.6</v>
      </c>
      <c r="T547" s="7">
        <f>IF(Payroll_Data_Analysis[[#This Row],[Base Salary (Monthly)]]&gt;=200000,69507,IF(Payroll_Data_Analysis[[#This Row],[Base Salary (Monthly)]]&gt;=145000,52684,35103))</f>
        <v>52684</v>
      </c>
      <c r="U547" s="7">
        <f>Payroll_Data_Analysis[[#This Row],[Annual KPI Bonus Reserve]]+Payroll_Data_Analysis[[#This Row],[Vacation Reserve]]+Payroll_Data_Analysis[[#This Row],[11-Month Salary]]</f>
        <v>3507848.1569965873</v>
      </c>
      <c r="V547" s="7">
        <f>Payroll_Data_Analysis[[#This Row],[Payroll Taxes (KPI Bonus)]]+Payroll_Data_Analysis[[#This Row],[Payroll Taxes (Vacation)]]+Payroll_Data_Analysis[[#This Row],[Payroll Taxes (Salary)]]</f>
        <v>1058071.5434129692</v>
      </c>
      <c r="W547" s="13">
        <f>Payroll_Data_Analysis[[#This Row],[Total Payroll]]+Payroll_Data_Analysis[[#This Row],[Total Payroll Taxes]]</f>
        <v>4565919.7004095567</v>
      </c>
    </row>
    <row r="548" spans="1:23">
      <c r="A548" s="11" t="s">
        <v>673</v>
      </c>
      <c r="B548" s="5" t="s">
        <v>551</v>
      </c>
      <c r="C548" s="5" t="s">
        <v>704</v>
      </c>
      <c r="D548" s="28" t="str">
        <f>VLOOKUP(Payroll_Data_Analysis[[#This Row],[Position]],Position_Map!$A$2:$B$58,2,FALSE)</f>
        <v>Management</v>
      </c>
      <c r="E548" s="6">
        <v>1</v>
      </c>
      <c r="F548" s="7">
        <v>146400</v>
      </c>
      <c r="G548" s="7">
        <v>100000</v>
      </c>
      <c r="H548" s="7"/>
      <c r="I548" s="7">
        <f>dataset!$F548-dataset!$J548-dataset!$G548-dataset!$H548</f>
        <v>38400</v>
      </c>
      <c r="J548" s="7">
        <f>dataset!$G548*0.08</f>
        <v>8000</v>
      </c>
      <c r="K548" s="7">
        <f>dataset!$F548*12</f>
        <v>1756800</v>
      </c>
      <c r="L548" s="12">
        <f>IF(dataset!$G548&gt;=200000,38%,IF(dataset!$G548&lt;=145000,12.3%,))</f>
        <v>0.12300000000000001</v>
      </c>
      <c r="M548" s="7">
        <f>dataset!$G548*L549*12</f>
        <v>147600.00000000003</v>
      </c>
      <c r="N54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48" s="7">
        <f>dataset!$K548+dataset!$M548</f>
        <v>1904400</v>
      </c>
      <c r="P548" s="7">
        <f>Payroll_Data_Analysis[[#This Row],[Annual Salary + KPI Bonus]]/12/29.3*31</f>
        <v>167907.84982935153</v>
      </c>
      <c r="Q548" s="7">
        <f>IF(Payroll_Data_Analysis[[#This Row],[Vacation Reserve]]&lt;=2979000,Payroll_Data_Analysis[[#This Row],[Vacation Reserve]]*0.302,2979000*0.302+(Payroll_Data_Analysis[[#This Row],[Vacation Reserve]]-2979000)*0.151)</f>
        <v>50708.170648464162</v>
      </c>
      <c r="R548" s="7">
        <f>Payroll_Data_Analysis[[#This Row],[Monthly Salary]]*11</f>
        <v>1610400</v>
      </c>
      <c r="S548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48" s="7">
        <f>IF(Payroll_Data_Analysis[[#This Row],[Base Salary (Monthly)]]&gt;=200000,69507,IF(Payroll_Data_Analysis[[#This Row],[Base Salary (Monthly)]]&gt;=145000,52684,35103))</f>
        <v>35103</v>
      </c>
      <c r="U548" s="7">
        <f>Payroll_Data_Analysis[[#This Row],[Annual KPI Bonus Reserve]]+Payroll_Data_Analysis[[#This Row],[Vacation Reserve]]+Payroll_Data_Analysis[[#This Row],[11-Month Salary]]</f>
        <v>1925907.8498293515</v>
      </c>
      <c r="V548" s="7">
        <f>Payroll_Data_Analysis[[#This Row],[Payroll Taxes (KPI Bonus)]]+Payroll_Data_Analysis[[#This Row],[Payroll Taxes (Vacation)]]+Payroll_Data_Analysis[[#This Row],[Payroll Taxes (Salary)]]</f>
        <v>581624.17064846412</v>
      </c>
      <c r="W548" s="13">
        <f>Payroll_Data_Analysis[[#This Row],[Total Payroll]]+Payroll_Data_Analysis[[#This Row],[Total Payroll Taxes]]</f>
        <v>2507532.0204778155</v>
      </c>
    </row>
    <row r="549" spans="1:23">
      <c r="A549" s="11" t="s">
        <v>673</v>
      </c>
      <c r="B549" s="5" t="s">
        <v>552</v>
      </c>
      <c r="C549" s="5" t="s">
        <v>699</v>
      </c>
      <c r="D549" s="28" t="str">
        <f>VLOOKUP(Payroll_Data_Analysis[[#This Row],[Position]],Position_Map!$A$2:$B$58,2,FALSE)</f>
        <v>Professional</v>
      </c>
      <c r="E549" s="6">
        <v>1</v>
      </c>
      <c r="F549" s="7">
        <v>221600</v>
      </c>
      <c r="G549" s="7">
        <v>145000</v>
      </c>
      <c r="H549" s="7"/>
      <c r="I549" s="7">
        <f>dataset!$F549-dataset!$J549-dataset!$G549-dataset!$H549</f>
        <v>65000</v>
      </c>
      <c r="J549" s="7">
        <f>dataset!$G549*0.08</f>
        <v>11600</v>
      </c>
      <c r="K549" s="7">
        <f>dataset!$F549*12</f>
        <v>2659200</v>
      </c>
      <c r="L549" s="12">
        <f>IF(dataset!$G549&gt;=200000,38%,IF(dataset!$G549&lt;=145000,12.3%,))</f>
        <v>0.12300000000000001</v>
      </c>
      <c r="M549" s="7">
        <f>dataset!$G549*L550*12</f>
        <v>214020</v>
      </c>
      <c r="N549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49" s="7">
        <f>dataset!$K549+dataset!$M549</f>
        <v>2873220</v>
      </c>
      <c r="P549" s="7">
        <f>Payroll_Data_Analysis[[#This Row],[Annual Salary + KPI Bonus]]/12/29.3*31</f>
        <v>253327.13310580203</v>
      </c>
      <c r="Q549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549" s="7">
        <f>Payroll_Data_Analysis[[#This Row],[Monthly Salary]]*11</f>
        <v>2437600</v>
      </c>
      <c r="S549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549" s="7">
        <f>IF(Payroll_Data_Analysis[[#This Row],[Base Salary (Monthly)]]&gt;=200000,69507,IF(Payroll_Data_Analysis[[#This Row],[Base Salary (Monthly)]]&gt;=145000,52684,35103))</f>
        <v>52684</v>
      </c>
      <c r="U549" s="7">
        <f>Payroll_Data_Analysis[[#This Row],[Annual KPI Bonus Reserve]]+Payroll_Data_Analysis[[#This Row],[Vacation Reserve]]+Payroll_Data_Analysis[[#This Row],[11-Month Salary]]</f>
        <v>2904947.1331058019</v>
      </c>
      <c r="V549" s="7">
        <f>Payroll_Data_Analysis[[#This Row],[Payroll Taxes (KPI Bonus)]]+Payroll_Data_Analysis[[#This Row],[Payroll Taxes (Vacation)]]+Payroll_Data_Analysis[[#This Row],[Payroll Taxes (Salary)]]</f>
        <v>877294.03419795213</v>
      </c>
      <c r="W549" s="13">
        <f>Payroll_Data_Analysis[[#This Row],[Total Payroll]]+Payroll_Data_Analysis[[#This Row],[Total Payroll Taxes]]</f>
        <v>3782241.167303754</v>
      </c>
    </row>
    <row r="550" spans="1:23">
      <c r="A550" s="11" t="s">
        <v>673</v>
      </c>
      <c r="B550" s="5" t="s">
        <v>553</v>
      </c>
      <c r="C550" s="5" t="s">
        <v>708</v>
      </c>
      <c r="D550" s="28" t="str">
        <f>VLOOKUP(Payroll_Data_Analysis[[#This Row],[Position]],Position_Map!$A$2:$B$58,2,FALSE)</f>
        <v>Professional</v>
      </c>
      <c r="E550" s="6">
        <v>1</v>
      </c>
      <c r="F550" s="7">
        <v>128000</v>
      </c>
      <c r="G550" s="7">
        <v>100000</v>
      </c>
      <c r="H550" s="7"/>
      <c r="I550" s="7">
        <f>dataset!$F550-dataset!$J550-dataset!$G550-dataset!$H550</f>
        <v>20000</v>
      </c>
      <c r="J550" s="7">
        <f>dataset!$G550*0.08</f>
        <v>8000</v>
      </c>
      <c r="K550" s="7">
        <f>dataset!$F550*12</f>
        <v>1536000</v>
      </c>
      <c r="L550" s="12">
        <f>IF(dataset!$G550&gt;=200000,38%,IF(dataset!$G550&lt;=145000,12.3%,))</f>
        <v>0.12300000000000001</v>
      </c>
      <c r="M550" s="7">
        <f>dataset!$G550*L551*12</f>
        <v>147600.00000000003</v>
      </c>
      <c r="N550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50" s="7">
        <f>dataset!$K550+dataset!$M550</f>
        <v>1683600</v>
      </c>
      <c r="P550" s="7">
        <f>Payroll_Data_Analysis[[#This Row],[Annual Salary + KPI Bonus]]/12/29.3*31</f>
        <v>148440.27303754268</v>
      </c>
      <c r="Q550" s="7">
        <f>IF(Payroll_Data_Analysis[[#This Row],[Vacation Reserve]]&lt;=2979000,Payroll_Data_Analysis[[#This Row],[Vacation Reserve]]*0.302,2979000*0.302+(Payroll_Data_Analysis[[#This Row],[Vacation Reserve]]-2979000)*0.151)</f>
        <v>44828.96245733789</v>
      </c>
      <c r="R550" s="7">
        <f>Payroll_Data_Analysis[[#This Row],[Monthly Salary]]*11</f>
        <v>1408000</v>
      </c>
      <c r="S550" s="7">
        <f>IF(Payroll_Data_Analysis[[#This Row],[11-Month Salary]]&lt;=2979000,Payroll_Data_Analysis[[#This Row],[11-Month Salary]]*0.302,2979000*0.302+(Payroll_Data_Analysis[[#This Row],[11-Month Salary]]-2979000)*0.151)</f>
        <v>425216</v>
      </c>
      <c r="T550" s="7">
        <f>IF(Payroll_Data_Analysis[[#This Row],[Base Salary (Monthly)]]&gt;=200000,69507,IF(Payroll_Data_Analysis[[#This Row],[Base Salary (Monthly)]]&gt;=145000,52684,35103))</f>
        <v>35103</v>
      </c>
      <c r="U550" s="7">
        <f>Payroll_Data_Analysis[[#This Row],[Annual KPI Bonus Reserve]]+Payroll_Data_Analysis[[#This Row],[Vacation Reserve]]+Payroll_Data_Analysis[[#This Row],[11-Month Salary]]</f>
        <v>1704040.2730375426</v>
      </c>
      <c r="V550" s="7">
        <f>Payroll_Data_Analysis[[#This Row],[Payroll Taxes (KPI Bonus)]]+Payroll_Data_Analysis[[#This Row],[Payroll Taxes (Vacation)]]+Payroll_Data_Analysis[[#This Row],[Payroll Taxes (Salary)]]</f>
        <v>514620.16245733789</v>
      </c>
      <c r="W550" s="13">
        <f>Payroll_Data_Analysis[[#This Row],[Total Payroll]]+Payroll_Data_Analysis[[#This Row],[Total Payroll Taxes]]</f>
        <v>2218660.4354948807</v>
      </c>
    </row>
    <row r="551" spans="1:23">
      <c r="A551" s="11" t="s">
        <v>673</v>
      </c>
      <c r="B551" s="5" t="s">
        <v>554</v>
      </c>
      <c r="C551" s="5" t="s">
        <v>708</v>
      </c>
      <c r="D551" s="28" t="str">
        <f>VLOOKUP(Payroll_Data_Analysis[[#This Row],[Position]],Position_Map!$A$2:$B$58,2,FALSE)</f>
        <v>Professional</v>
      </c>
      <c r="E551" s="6">
        <v>1</v>
      </c>
      <c r="F551" s="7">
        <v>158000</v>
      </c>
      <c r="G551" s="7">
        <v>100000</v>
      </c>
      <c r="H551" s="7"/>
      <c r="I551" s="7">
        <f>dataset!$F551-dataset!$J551-dataset!$G551-dataset!$H551</f>
        <v>50000</v>
      </c>
      <c r="J551" s="7">
        <f>dataset!$G551*0.08</f>
        <v>8000</v>
      </c>
      <c r="K551" s="7">
        <f>dataset!$F551*12</f>
        <v>1896000</v>
      </c>
      <c r="L551" s="12">
        <f>IF(dataset!$G551&gt;=200000,38%,IF(dataset!$G551&lt;=145000,12.3%,))</f>
        <v>0.12300000000000001</v>
      </c>
      <c r="M551" s="7">
        <f>dataset!$G551*L552*12</f>
        <v>147600.00000000003</v>
      </c>
      <c r="N551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51" s="7">
        <f>dataset!$K551+dataset!$M551</f>
        <v>2043600</v>
      </c>
      <c r="P551" s="7">
        <f>Payroll_Data_Analysis[[#This Row],[Annual Salary + KPI Bonus]]/12/29.3*31</f>
        <v>180180.88737201365</v>
      </c>
      <c r="Q551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551" s="7">
        <f>Payroll_Data_Analysis[[#This Row],[Monthly Salary]]*11</f>
        <v>1738000</v>
      </c>
      <c r="S551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551" s="7">
        <f>IF(Payroll_Data_Analysis[[#This Row],[Base Salary (Monthly)]]&gt;=200000,69507,IF(Payroll_Data_Analysis[[#This Row],[Base Salary (Monthly)]]&gt;=145000,52684,35103))</f>
        <v>35103</v>
      </c>
      <c r="U551" s="7">
        <f>Payroll_Data_Analysis[[#This Row],[Annual KPI Bonus Reserve]]+Payroll_Data_Analysis[[#This Row],[Vacation Reserve]]+Payroll_Data_Analysis[[#This Row],[11-Month Salary]]</f>
        <v>2065780.8873720136</v>
      </c>
      <c r="V551" s="7">
        <f>Payroll_Data_Analysis[[#This Row],[Payroll Taxes (KPI Bonus)]]+Payroll_Data_Analysis[[#This Row],[Payroll Taxes (Vacation)]]+Payroll_Data_Analysis[[#This Row],[Payroll Taxes (Salary)]]</f>
        <v>623865.82798634819</v>
      </c>
      <c r="W551" s="13">
        <f>Payroll_Data_Analysis[[#This Row],[Total Payroll]]+Payroll_Data_Analysis[[#This Row],[Total Payroll Taxes]]</f>
        <v>2689646.7153583616</v>
      </c>
    </row>
    <row r="552" spans="1:23">
      <c r="A552" s="11" t="s">
        <v>673</v>
      </c>
      <c r="B552" s="5" t="s">
        <v>555</v>
      </c>
      <c r="C552" s="5" t="s">
        <v>747</v>
      </c>
      <c r="D552" s="28" t="str">
        <f>VLOOKUP(Payroll_Data_Analysis[[#This Row],[Position]],Position_Map!$A$2:$B$58,2,FALSE)</f>
        <v>Operations</v>
      </c>
      <c r="E552" s="6">
        <v>1</v>
      </c>
      <c r="F552" s="7">
        <v>99800</v>
      </c>
      <c r="G552" s="7">
        <v>60000</v>
      </c>
      <c r="H552" s="7"/>
      <c r="I552" s="7">
        <f>dataset!$F552-dataset!$J552-dataset!$G552-dataset!$H552</f>
        <v>35000</v>
      </c>
      <c r="J552" s="7">
        <f>dataset!$G552*0.08</f>
        <v>4800</v>
      </c>
      <c r="K552" s="7">
        <f>dataset!$F552*12</f>
        <v>1197600</v>
      </c>
      <c r="L552" s="12">
        <f>IF(dataset!$G552&gt;=200000,38%,IF(dataset!$G552&lt;=145000,12.3%,))</f>
        <v>0.12300000000000001</v>
      </c>
      <c r="M552" s="7">
        <f>dataset!$G552*L553*12</f>
        <v>88560.000000000015</v>
      </c>
      <c r="N55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2" s="7">
        <f>dataset!$K552+dataset!$M552</f>
        <v>1286160</v>
      </c>
      <c r="P552" s="7">
        <f>Payroll_Data_Analysis[[#This Row],[Annual Salary + KPI Bonus]]/12/29.3*31</f>
        <v>113398.63481228668</v>
      </c>
      <c r="Q552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552" s="7">
        <f>Payroll_Data_Analysis[[#This Row],[Monthly Salary]]*11</f>
        <v>1097800</v>
      </c>
      <c r="S552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552" s="7">
        <f>IF(Payroll_Data_Analysis[[#This Row],[Base Salary (Monthly)]]&gt;=200000,69507,IF(Payroll_Data_Analysis[[#This Row],[Base Salary (Monthly)]]&gt;=145000,52684,35103))</f>
        <v>35103</v>
      </c>
      <c r="U552" s="7">
        <f>Payroll_Data_Analysis[[#This Row],[Annual KPI Bonus Reserve]]+Payroll_Data_Analysis[[#This Row],[Vacation Reserve]]+Payroll_Data_Analysis[[#This Row],[11-Month Salary]]</f>
        <v>1299758.6348122866</v>
      </c>
      <c r="V552" s="7">
        <f>Payroll_Data_Analysis[[#This Row],[Payroll Taxes (KPI Bonus)]]+Payroll_Data_Analysis[[#This Row],[Payroll Taxes (Vacation)]]+Payroll_Data_Analysis[[#This Row],[Payroll Taxes (Salary)]]</f>
        <v>392527.10771331057</v>
      </c>
      <c r="W552" s="13">
        <f>Payroll_Data_Analysis[[#This Row],[Total Payroll]]+Payroll_Data_Analysis[[#This Row],[Total Payroll Taxes]]</f>
        <v>1692285.7425255971</v>
      </c>
    </row>
    <row r="553" spans="1:23">
      <c r="A553" s="11" t="s">
        <v>673</v>
      </c>
      <c r="B553" s="5" t="s">
        <v>556</v>
      </c>
      <c r="C553" s="5" t="s">
        <v>747</v>
      </c>
      <c r="D553" s="28" t="str">
        <f>VLOOKUP(Payroll_Data_Analysis[[#This Row],[Position]],Position_Map!$A$2:$B$58,2,FALSE)</f>
        <v>Operations</v>
      </c>
      <c r="E553" s="6">
        <v>1</v>
      </c>
      <c r="F553" s="7">
        <v>99800</v>
      </c>
      <c r="G553" s="7">
        <v>60000</v>
      </c>
      <c r="H553" s="7"/>
      <c r="I553" s="7">
        <f>dataset!$F553-dataset!$J553-dataset!$G553-dataset!$H553</f>
        <v>35000</v>
      </c>
      <c r="J553" s="7">
        <f>dataset!$G553*0.08</f>
        <v>4800</v>
      </c>
      <c r="K553" s="7">
        <f>dataset!$F553*12</f>
        <v>1197600</v>
      </c>
      <c r="L553" s="12">
        <f>IF(dataset!$G553&gt;=200000,38%,IF(dataset!$G553&lt;=145000,12.3%,))</f>
        <v>0.12300000000000001</v>
      </c>
      <c r="M553" s="7">
        <f>dataset!$G553*L554*12</f>
        <v>88560.000000000015</v>
      </c>
      <c r="N55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3" s="7">
        <f>dataset!$K553+dataset!$M553</f>
        <v>1286160</v>
      </c>
      <c r="P553" s="7">
        <f>Payroll_Data_Analysis[[#This Row],[Annual Salary + KPI Bonus]]/12/29.3*31</f>
        <v>113398.63481228668</v>
      </c>
      <c r="Q553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553" s="7">
        <f>Payroll_Data_Analysis[[#This Row],[Monthly Salary]]*11</f>
        <v>1097800</v>
      </c>
      <c r="S553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553" s="7">
        <f>IF(Payroll_Data_Analysis[[#This Row],[Base Salary (Monthly)]]&gt;=200000,69507,IF(Payroll_Data_Analysis[[#This Row],[Base Salary (Monthly)]]&gt;=145000,52684,35103))</f>
        <v>35103</v>
      </c>
      <c r="U553" s="7">
        <f>Payroll_Data_Analysis[[#This Row],[Annual KPI Bonus Reserve]]+Payroll_Data_Analysis[[#This Row],[Vacation Reserve]]+Payroll_Data_Analysis[[#This Row],[11-Month Salary]]</f>
        <v>1299758.6348122866</v>
      </c>
      <c r="V553" s="7">
        <f>Payroll_Data_Analysis[[#This Row],[Payroll Taxes (KPI Bonus)]]+Payroll_Data_Analysis[[#This Row],[Payroll Taxes (Vacation)]]+Payroll_Data_Analysis[[#This Row],[Payroll Taxes (Salary)]]</f>
        <v>392527.10771331057</v>
      </c>
      <c r="W553" s="13">
        <f>Payroll_Data_Analysis[[#This Row],[Total Payroll]]+Payroll_Data_Analysis[[#This Row],[Total Payroll Taxes]]</f>
        <v>1692285.7425255971</v>
      </c>
    </row>
    <row r="554" spans="1:23">
      <c r="A554" s="11" t="s">
        <v>673</v>
      </c>
      <c r="B554" s="5" t="s">
        <v>557</v>
      </c>
      <c r="C554" s="5" t="s">
        <v>747</v>
      </c>
      <c r="D554" s="28" t="str">
        <f>VLOOKUP(Payroll_Data_Analysis[[#This Row],[Position]],Position_Map!$A$2:$B$58,2,FALSE)</f>
        <v>Operations</v>
      </c>
      <c r="E554" s="6">
        <v>1</v>
      </c>
      <c r="F554" s="7">
        <v>99800</v>
      </c>
      <c r="G554" s="7">
        <v>60000</v>
      </c>
      <c r="H554" s="7"/>
      <c r="I554" s="7">
        <f>dataset!$F554-dataset!$J554-dataset!$G554-dataset!$H554</f>
        <v>35000</v>
      </c>
      <c r="J554" s="7">
        <f>dataset!$G554*0.08</f>
        <v>4800</v>
      </c>
      <c r="K554" s="7">
        <f>dataset!$F554*12</f>
        <v>1197600</v>
      </c>
      <c r="L554" s="12">
        <f>IF(dataset!$G554&gt;=200000,38%,IF(dataset!$G554&lt;=145000,12.3%,))</f>
        <v>0.12300000000000001</v>
      </c>
      <c r="M554" s="7">
        <f>dataset!$G554*L555*12</f>
        <v>88560.000000000015</v>
      </c>
      <c r="N55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4" s="7">
        <f>dataset!$K554+dataset!$M554</f>
        <v>1286160</v>
      </c>
      <c r="P554" s="7">
        <f>Payroll_Data_Analysis[[#This Row],[Annual Salary + KPI Bonus]]/12/29.3*31</f>
        <v>113398.63481228668</v>
      </c>
      <c r="Q554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554" s="7">
        <f>Payroll_Data_Analysis[[#This Row],[Monthly Salary]]*11</f>
        <v>1097800</v>
      </c>
      <c r="S554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554" s="7">
        <f>IF(Payroll_Data_Analysis[[#This Row],[Base Salary (Monthly)]]&gt;=200000,69507,IF(Payroll_Data_Analysis[[#This Row],[Base Salary (Monthly)]]&gt;=145000,52684,35103))</f>
        <v>35103</v>
      </c>
      <c r="U554" s="7">
        <f>Payroll_Data_Analysis[[#This Row],[Annual KPI Bonus Reserve]]+Payroll_Data_Analysis[[#This Row],[Vacation Reserve]]+Payroll_Data_Analysis[[#This Row],[11-Month Salary]]</f>
        <v>1299758.6348122866</v>
      </c>
      <c r="V554" s="7">
        <f>Payroll_Data_Analysis[[#This Row],[Payroll Taxes (KPI Bonus)]]+Payroll_Data_Analysis[[#This Row],[Payroll Taxes (Vacation)]]+Payroll_Data_Analysis[[#This Row],[Payroll Taxes (Salary)]]</f>
        <v>392527.10771331057</v>
      </c>
      <c r="W554" s="13">
        <f>Payroll_Data_Analysis[[#This Row],[Total Payroll]]+Payroll_Data_Analysis[[#This Row],[Total Payroll Taxes]]</f>
        <v>1692285.7425255971</v>
      </c>
    </row>
    <row r="555" spans="1:23">
      <c r="A555" s="11" t="s">
        <v>673</v>
      </c>
      <c r="B555" s="5" t="s">
        <v>558</v>
      </c>
      <c r="C555" s="5" t="s">
        <v>747</v>
      </c>
      <c r="D555" s="28" t="str">
        <f>VLOOKUP(Payroll_Data_Analysis[[#This Row],[Position]],Position_Map!$A$2:$B$58,2,FALSE)</f>
        <v>Operations</v>
      </c>
      <c r="E555" s="6">
        <v>1</v>
      </c>
      <c r="F555" s="7">
        <v>99800</v>
      </c>
      <c r="G555" s="7">
        <v>60000</v>
      </c>
      <c r="H555" s="7"/>
      <c r="I555" s="7">
        <f>dataset!$F555-dataset!$J555-dataset!$G555-dataset!$H555</f>
        <v>35000</v>
      </c>
      <c r="J555" s="7">
        <f>dataset!$G555*0.08</f>
        <v>4800</v>
      </c>
      <c r="K555" s="7">
        <f>dataset!$F555*12</f>
        <v>1197600</v>
      </c>
      <c r="L555" s="12">
        <f>IF(dataset!$G555&gt;=200000,38%,IF(dataset!$G555&lt;=145000,12.3%,))</f>
        <v>0.12300000000000001</v>
      </c>
      <c r="M555" s="7">
        <f>dataset!$G555*L556*12</f>
        <v>88560.000000000015</v>
      </c>
      <c r="N55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5" s="7">
        <f>dataset!$K555+dataset!$M555</f>
        <v>1286160</v>
      </c>
      <c r="P555" s="7">
        <f>Payroll_Data_Analysis[[#This Row],[Annual Salary + KPI Bonus]]/12/29.3*31</f>
        <v>113398.63481228668</v>
      </c>
      <c r="Q555" s="7">
        <f>IF(Payroll_Data_Analysis[[#This Row],[Vacation Reserve]]&lt;=2979000,Payroll_Data_Analysis[[#This Row],[Vacation Reserve]]*0.302,2979000*0.302+(Payroll_Data_Analysis[[#This Row],[Vacation Reserve]]-2979000)*0.151)</f>
        <v>34246.387713310578</v>
      </c>
      <c r="R555" s="7">
        <f>Payroll_Data_Analysis[[#This Row],[Monthly Salary]]*11</f>
        <v>1097800</v>
      </c>
      <c r="S555" s="7">
        <f>IF(Payroll_Data_Analysis[[#This Row],[11-Month Salary]]&lt;=2979000,Payroll_Data_Analysis[[#This Row],[11-Month Salary]]*0.302,2979000*0.302+(Payroll_Data_Analysis[[#This Row],[11-Month Salary]]-2979000)*0.151)</f>
        <v>331535.59999999998</v>
      </c>
      <c r="T555" s="7">
        <f>IF(Payroll_Data_Analysis[[#This Row],[Base Salary (Monthly)]]&gt;=200000,69507,IF(Payroll_Data_Analysis[[#This Row],[Base Salary (Monthly)]]&gt;=145000,52684,35103))</f>
        <v>35103</v>
      </c>
      <c r="U555" s="7">
        <f>Payroll_Data_Analysis[[#This Row],[Annual KPI Bonus Reserve]]+Payroll_Data_Analysis[[#This Row],[Vacation Reserve]]+Payroll_Data_Analysis[[#This Row],[11-Month Salary]]</f>
        <v>1299758.6348122866</v>
      </c>
      <c r="V555" s="7">
        <f>Payroll_Data_Analysis[[#This Row],[Payroll Taxes (KPI Bonus)]]+Payroll_Data_Analysis[[#This Row],[Payroll Taxes (Vacation)]]+Payroll_Data_Analysis[[#This Row],[Payroll Taxes (Salary)]]</f>
        <v>392527.10771331057</v>
      </c>
      <c r="W555" s="13">
        <f>Payroll_Data_Analysis[[#This Row],[Total Payroll]]+Payroll_Data_Analysis[[#This Row],[Total Payroll Taxes]]</f>
        <v>1692285.7425255971</v>
      </c>
    </row>
    <row r="556" spans="1:23">
      <c r="A556" s="11" t="s">
        <v>673</v>
      </c>
      <c r="B556" s="5" t="s">
        <v>559</v>
      </c>
      <c r="C556" s="5" t="s">
        <v>738</v>
      </c>
      <c r="D556" s="28" t="str">
        <f>VLOOKUP(Payroll_Data_Analysis[[#This Row],[Position]],Position_Map!$A$2:$B$58,2,FALSE)</f>
        <v>Facilities</v>
      </c>
      <c r="E556" s="6">
        <v>1</v>
      </c>
      <c r="F556" s="7">
        <v>79000</v>
      </c>
      <c r="G556" s="7">
        <v>60000</v>
      </c>
      <c r="H556" s="7"/>
      <c r="I556" s="7">
        <f>dataset!$F556-dataset!$J556-dataset!$G556-dataset!$H556</f>
        <v>14200</v>
      </c>
      <c r="J556" s="7">
        <f>dataset!$G556*0.08</f>
        <v>4800</v>
      </c>
      <c r="K556" s="7">
        <f>dataset!$F556*12</f>
        <v>948000</v>
      </c>
      <c r="L556" s="12">
        <f>IF(dataset!$G556&gt;=200000,38%,IF(dataset!$G556&lt;=145000,12.3%,))</f>
        <v>0.12300000000000001</v>
      </c>
      <c r="M556" s="7">
        <f>dataset!$G556*L557*12</f>
        <v>88560.000000000015</v>
      </c>
      <c r="N55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6" s="7">
        <f>dataset!$K556+dataset!$M556</f>
        <v>1036560</v>
      </c>
      <c r="P556" s="7">
        <f>Payroll_Data_Analysis[[#This Row],[Annual Salary + KPI Bonus]]/12/29.3*31</f>
        <v>91391.808873720147</v>
      </c>
      <c r="Q556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56" s="7">
        <f>Payroll_Data_Analysis[[#This Row],[Monthly Salary]]*11</f>
        <v>869000</v>
      </c>
      <c r="S556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56" s="7">
        <f>IF(Payroll_Data_Analysis[[#This Row],[Base Salary (Monthly)]]&gt;=200000,69507,IF(Payroll_Data_Analysis[[#This Row],[Base Salary (Monthly)]]&gt;=145000,52684,35103))</f>
        <v>35103</v>
      </c>
      <c r="U556" s="7">
        <f>Payroll_Data_Analysis[[#This Row],[Annual KPI Bonus Reserve]]+Payroll_Data_Analysis[[#This Row],[Vacation Reserve]]+Payroll_Data_Analysis[[#This Row],[11-Month Salary]]</f>
        <v>1048951.8088737202</v>
      </c>
      <c r="V556" s="7">
        <f>Payroll_Data_Analysis[[#This Row],[Payroll Taxes (KPI Bonus)]]+Payroll_Data_Analysis[[#This Row],[Payroll Taxes (Vacation)]]+Payroll_Data_Analysis[[#This Row],[Payroll Taxes (Salary)]]</f>
        <v>316783.44627986348</v>
      </c>
      <c r="W556" s="13">
        <f>Payroll_Data_Analysis[[#This Row],[Total Payroll]]+Payroll_Data_Analysis[[#This Row],[Total Payroll Taxes]]</f>
        <v>1365735.2551535838</v>
      </c>
    </row>
    <row r="557" spans="1:23">
      <c r="A557" s="11" t="s">
        <v>673</v>
      </c>
      <c r="B557" s="5" t="s">
        <v>560</v>
      </c>
      <c r="C557" s="5" t="s">
        <v>738</v>
      </c>
      <c r="D557" s="28" t="str">
        <f>VLOOKUP(Payroll_Data_Analysis[[#This Row],[Position]],Position_Map!$A$2:$B$58,2,FALSE)</f>
        <v>Facilities</v>
      </c>
      <c r="E557" s="6">
        <v>1</v>
      </c>
      <c r="F557" s="7">
        <v>79000</v>
      </c>
      <c r="G557" s="7">
        <v>60000</v>
      </c>
      <c r="H557" s="7"/>
      <c r="I557" s="7">
        <f>dataset!$F557-dataset!$J557-dataset!$G557-dataset!$H557</f>
        <v>14200</v>
      </c>
      <c r="J557" s="7">
        <f>dataset!$G557*0.08</f>
        <v>4800</v>
      </c>
      <c r="K557" s="7">
        <f>dataset!$F557*12</f>
        <v>948000</v>
      </c>
      <c r="L557" s="12">
        <f>IF(dataset!$G557&gt;=200000,38%,IF(dataset!$G557&lt;=145000,12.3%,))</f>
        <v>0.12300000000000001</v>
      </c>
      <c r="M557" s="7">
        <f>dataset!$G557*L558*12</f>
        <v>88560.000000000015</v>
      </c>
      <c r="N55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7" s="7">
        <f>dataset!$K557+dataset!$M557</f>
        <v>1036560</v>
      </c>
      <c r="P557" s="7">
        <f>Payroll_Data_Analysis[[#This Row],[Annual Salary + KPI Bonus]]/12/29.3*31</f>
        <v>91391.808873720147</v>
      </c>
      <c r="Q557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57" s="7">
        <f>Payroll_Data_Analysis[[#This Row],[Monthly Salary]]*11</f>
        <v>869000</v>
      </c>
      <c r="S557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57" s="7">
        <f>IF(Payroll_Data_Analysis[[#This Row],[Base Salary (Monthly)]]&gt;=200000,69507,IF(Payroll_Data_Analysis[[#This Row],[Base Salary (Monthly)]]&gt;=145000,52684,35103))</f>
        <v>35103</v>
      </c>
      <c r="U557" s="7">
        <f>Payroll_Data_Analysis[[#This Row],[Annual KPI Bonus Reserve]]+Payroll_Data_Analysis[[#This Row],[Vacation Reserve]]+Payroll_Data_Analysis[[#This Row],[11-Month Salary]]</f>
        <v>1048951.8088737202</v>
      </c>
      <c r="V557" s="7">
        <f>Payroll_Data_Analysis[[#This Row],[Payroll Taxes (KPI Bonus)]]+Payroll_Data_Analysis[[#This Row],[Payroll Taxes (Vacation)]]+Payroll_Data_Analysis[[#This Row],[Payroll Taxes (Salary)]]</f>
        <v>316783.44627986348</v>
      </c>
      <c r="W557" s="13">
        <f>Payroll_Data_Analysis[[#This Row],[Total Payroll]]+Payroll_Data_Analysis[[#This Row],[Total Payroll Taxes]]</f>
        <v>1365735.2551535838</v>
      </c>
    </row>
    <row r="558" spans="1:23">
      <c r="A558" s="11" t="s">
        <v>673</v>
      </c>
      <c r="B558" s="5" t="s">
        <v>561</v>
      </c>
      <c r="C558" s="5" t="s">
        <v>738</v>
      </c>
      <c r="D558" s="28" t="str">
        <f>VLOOKUP(Payroll_Data_Analysis[[#This Row],[Position]],Position_Map!$A$2:$B$58,2,FALSE)</f>
        <v>Facilities</v>
      </c>
      <c r="E558" s="6">
        <v>1</v>
      </c>
      <c r="F558" s="7">
        <v>79000</v>
      </c>
      <c r="G558" s="7">
        <v>60000</v>
      </c>
      <c r="H558" s="7"/>
      <c r="I558" s="7">
        <f>dataset!$F558-dataset!$J558-dataset!$G558-dataset!$H558</f>
        <v>14200</v>
      </c>
      <c r="J558" s="7">
        <f>dataset!$G558*0.08</f>
        <v>4800</v>
      </c>
      <c r="K558" s="7">
        <f>dataset!$F558*12</f>
        <v>948000</v>
      </c>
      <c r="L558" s="12">
        <f>IF(dataset!$G558&gt;=200000,38%,IF(dataset!$G558&lt;=145000,12.3%,))</f>
        <v>0.12300000000000001</v>
      </c>
      <c r="M558" s="7">
        <f>dataset!$G558*L559*12</f>
        <v>88560.000000000015</v>
      </c>
      <c r="N558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8" s="7">
        <f>dataset!$K558+dataset!$M558</f>
        <v>1036560</v>
      </c>
      <c r="P558" s="7">
        <f>Payroll_Data_Analysis[[#This Row],[Annual Salary + KPI Bonus]]/12/29.3*31</f>
        <v>91391.808873720147</v>
      </c>
      <c r="Q558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58" s="7">
        <f>Payroll_Data_Analysis[[#This Row],[Monthly Salary]]*11</f>
        <v>869000</v>
      </c>
      <c r="S558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58" s="7">
        <f>IF(Payroll_Data_Analysis[[#This Row],[Base Salary (Monthly)]]&gt;=200000,69507,IF(Payroll_Data_Analysis[[#This Row],[Base Salary (Monthly)]]&gt;=145000,52684,35103))</f>
        <v>35103</v>
      </c>
      <c r="U558" s="7">
        <f>Payroll_Data_Analysis[[#This Row],[Annual KPI Bonus Reserve]]+Payroll_Data_Analysis[[#This Row],[Vacation Reserve]]+Payroll_Data_Analysis[[#This Row],[11-Month Salary]]</f>
        <v>1048951.8088737202</v>
      </c>
      <c r="V558" s="7">
        <f>Payroll_Data_Analysis[[#This Row],[Payroll Taxes (KPI Bonus)]]+Payroll_Data_Analysis[[#This Row],[Payroll Taxes (Vacation)]]+Payroll_Data_Analysis[[#This Row],[Payroll Taxes (Salary)]]</f>
        <v>316783.44627986348</v>
      </c>
      <c r="W558" s="13">
        <f>Payroll_Data_Analysis[[#This Row],[Total Payroll]]+Payroll_Data_Analysis[[#This Row],[Total Payroll Taxes]]</f>
        <v>1365735.2551535838</v>
      </c>
    </row>
    <row r="559" spans="1:23">
      <c r="A559" s="11" t="s">
        <v>673</v>
      </c>
      <c r="B559" s="5" t="s">
        <v>562</v>
      </c>
      <c r="C559" s="5" t="s">
        <v>738</v>
      </c>
      <c r="D559" s="28" t="str">
        <f>VLOOKUP(Payroll_Data_Analysis[[#This Row],[Position]],Position_Map!$A$2:$B$58,2,FALSE)</f>
        <v>Facilities</v>
      </c>
      <c r="E559" s="6">
        <v>1</v>
      </c>
      <c r="F559" s="7">
        <v>79000</v>
      </c>
      <c r="G559" s="7">
        <v>60000</v>
      </c>
      <c r="H559" s="7"/>
      <c r="I559" s="7">
        <f>dataset!$F559-dataset!$J559-dataset!$G559-dataset!$H559</f>
        <v>14200</v>
      </c>
      <c r="J559" s="7">
        <f>dataset!$G559*0.08</f>
        <v>4800</v>
      </c>
      <c r="K559" s="7">
        <f>dataset!$F559*12</f>
        <v>948000</v>
      </c>
      <c r="L559" s="12">
        <f>IF(dataset!$G559&gt;=200000,38%,IF(dataset!$G559&lt;=145000,12.3%,))</f>
        <v>0.12300000000000001</v>
      </c>
      <c r="M559" s="7">
        <f>dataset!$G559*L560*12</f>
        <v>88560.000000000015</v>
      </c>
      <c r="N55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59" s="7">
        <f>dataset!$K559+dataset!$M559</f>
        <v>1036560</v>
      </c>
      <c r="P559" s="7">
        <f>Payroll_Data_Analysis[[#This Row],[Annual Salary + KPI Bonus]]/12/29.3*31</f>
        <v>91391.808873720147</v>
      </c>
      <c r="Q559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59" s="7">
        <f>Payroll_Data_Analysis[[#This Row],[Monthly Salary]]*11</f>
        <v>869000</v>
      </c>
      <c r="S559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59" s="7">
        <f>IF(Payroll_Data_Analysis[[#This Row],[Base Salary (Monthly)]]&gt;=200000,69507,IF(Payroll_Data_Analysis[[#This Row],[Base Salary (Monthly)]]&gt;=145000,52684,35103))</f>
        <v>35103</v>
      </c>
      <c r="U559" s="7">
        <f>Payroll_Data_Analysis[[#This Row],[Annual KPI Bonus Reserve]]+Payroll_Data_Analysis[[#This Row],[Vacation Reserve]]+Payroll_Data_Analysis[[#This Row],[11-Month Salary]]</f>
        <v>1048951.8088737202</v>
      </c>
      <c r="V559" s="7">
        <f>Payroll_Data_Analysis[[#This Row],[Payroll Taxes (KPI Bonus)]]+Payroll_Data_Analysis[[#This Row],[Payroll Taxes (Vacation)]]+Payroll_Data_Analysis[[#This Row],[Payroll Taxes (Salary)]]</f>
        <v>316783.44627986348</v>
      </c>
      <c r="W559" s="13">
        <f>Payroll_Data_Analysis[[#This Row],[Total Payroll]]+Payroll_Data_Analysis[[#This Row],[Total Payroll Taxes]]</f>
        <v>1365735.2551535838</v>
      </c>
    </row>
    <row r="560" spans="1:23">
      <c r="A560" s="11" t="s">
        <v>673</v>
      </c>
      <c r="B560" s="5" t="s">
        <v>563</v>
      </c>
      <c r="C560" s="5" t="s">
        <v>738</v>
      </c>
      <c r="D560" s="28" t="str">
        <f>VLOOKUP(Payroll_Data_Analysis[[#This Row],[Position]],Position_Map!$A$2:$B$58,2,FALSE)</f>
        <v>Facilities</v>
      </c>
      <c r="E560" s="6">
        <v>1</v>
      </c>
      <c r="F560" s="7">
        <v>79000</v>
      </c>
      <c r="G560" s="7">
        <v>60000</v>
      </c>
      <c r="H560" s="7"/>
      <c r="I560" s="7">
        <f>dataset!$F560-dataset!$J560-dataset!$G560-dataset!$H560</f>
        <v>14200</v>
      </c>
      <c r="J560" s="7">
        <f>dataset!$G560*0.08</f>
        <v>4800</v>
      </c>
      <c r="K560" s="7">
        <f>dataset!$F560*12</f>
        <v>948000</v>
      </c>
      <c r="L560" s="12">
        <f>IF(dataset!$G560&gt;=200000,38%,IF(dataset!$G560&lt;=145000,12.3%,))</f>
        <v>0.12300000000000001</v>
      </c>
      <c r="M560" s="7">
        <f>dataset!$G560*L561*12</f>
        <v>88560.000000000015</v>
      </c>
      <c r="N56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0" s="7">
        <f>dataset!$K560+dataset!$M560</f>
        <v>1036560</v>
      </c>
      <c r="P560" s="7">
        <f>Payroll_Data_Analysis[[#This Row],[Annual Salary + KPI Bonus]]/12/29.3*31</f>
        <v>91391.808873720147</v>
      </c>
      <c r="Q560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0" s="7">
        <f>Payroll_Data_Analysis[[#This Row],[Monthly Salary]]*11</f>
        <v>869000</v>
      </c>
      <c r="S560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0" s="7">
        <f>IF(Payroll_Data_Analysis[[#This Row],[Base Salary (Monthly)]]&gt;=200000,69507,IF(Payroll_Data_Analysis[[#This Row],[Base Salary (Monthly)]]&gt;=145000,52684,35103))</f>
        <v>35103</v>
      </c>
      <c r="U560" s="7">
        <f>Payroll_Data_Analysis[[#This Row],[Annual KPI Bonus Reserve]]+Payroll_Data_Analysis[[#This Row],[Vacation Reserve]]+Payroll_Data_Analysis[[#This Row],[11-Month Salary]]</f>
        <v>1048951.8088737202</v>
      </c>
      <c r="V560" s="7">
        <f>Payroll_Data_Analysis[[#This Row],[Payroll Taxes (KPI Bonus)]]+Payroll_Data_Analysis[[#This Row],[Payroll Taxes (Vacation)]]+Payroll_Data_Analysis[[#This Row],[Payroll Taxes (Salary)]]</f>
        <v>316783.44627986348</v>
      </c>
      <c r="W560" s="13">
        <f>Payroll_Data_Analysis[[#This Row],[Total Payroll]]+Payroll_Data_Analysis[[#This Row],[Total Payroll Taxes]]</f>
        <v>1365735.2551535838</v>
      </c>
    </row>
    <row r="561" spans="1:23">
      <c r="A561" s="11" t="s">
        <v>673</v>
      </c>
      <c r="B561" s="5" t="s">
        <v>564</v>
      </c>
      <c r="C561" s="5" t="s">
        <v>738</v>
      </c>
      <c r="D561" s="28" t="str">
        <f>VLOOKUP(Payroll_Data_Analysis[[#This Row],[Position]],Position_Map!$A$2:$B$58,2,FALSE)</f>
        <v>Facilities</v>
      </c>
      <c r="E561" s="6">
        <v>1</v>
      </c>
      <c r="F561" s="7">
        <v>79000</v>
      </c>
      <c r="G561" s="7">
        <v>60000</v>
      </c>
      <c r="H561" s="7"/>
      <c r="I561" s="7">
        <f>dataset!$F561-dataset!$J561-dataset!$G561-dataset!$H561</f>
        <v>14200</v>
      </c>
      <c r="J561" s="7">
        <f>dataset!$G561*0.08</f>
        <v>4800</v>
      </c>
      <c r="K561" s="7">
        <f>dataset!$F561*12</f>
        <v>948000</v>
      </c>
      <c r="L561" s="12">
        <f>IF(dataset!$G561&gt;=200000,38%,IF(dataset!$G561&lt;=145000,12.3%,))</f>
        <v>0.12300000000000001</v>
      </c>
      <c r="M561" s="7">
        <f>dataset!$G561*L562*12</f>
        <v>88560.000000000015</v>
      </c>
      <c r="N561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1" s="7">
        <f>dataset!$K561+dataset!$M561</f>
        <v>1036560</v>
      </c>
      <c r="P561" s="7">
        <f>Payroll_Data_Analysis[[#This Row],[Annual Salary + KPI Bonus]]/12/29.3*31</f>
        <v>91391.808873720147</v>
      </c>
      <c r="Q561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1" s="7">
        <f>Payroll_Data_Analysis[[#This Row],[Monthly Salary]]*11</f>
        <v>869000</v>
      </c>
      <c r="S561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1" s="7">
        <f>IF(Payroll_Data_Analysis[[#This Row],[Base Salary (Monthly)]]&gt;=200000,69507,IF(Payroll_Data_Analysis[[#This Row],[Base Salary (Monthly)]]&gt;=145000,52684,35103))</f>
        <v>35103</v>
      </c>
      <c r="U561" s="7">
        <f>Payroll_Data_Analysis[[#This Row],[Annual KPI Bonus Reserve]]+Payroll_Data_Analysis[[#This Row],[Vacation Reserve]]+Payroll_Data_Analysis[[#This Row],[11-Month Salary]]</f>
        <v>1048951.8088737202</v>
      </c>
      <c r="V561" s="7">
        <f>Payroll_Data_Analysis[[#This Row],[Payroll Taxes (KPI Bonus)]]+Payroll_Data_Analysis[[#This Row],[Payroll Taxes (Vacation)]]+Payroll_Data_Analysis[[#This Row],[Payroll Taxes (Salary)]]</f>
        <v>316783.44627986348</v>
      </c>
      <c r="W561" s="13">
        <f>Payroll_Data_Analysis[[#This Row],[Total Payroll]]+Payroll_Data_Analysis[[#This Row],[Total Payroll Taxes]]</f>
        <v>1365735.2551535838</v>
      </c>
    </row>
    <row r="562" spans="1:23">
      <c r="A562" s="11" t="s">
        <v>673</v>
      </c>
      <c r="B562" s="5" t="s">
        <v>565</v>
      </c>
      <c r="C562" s="5" t="s">
        <v>738</v>
      </c>
      <c r="D562" s="28" t="str">
        <f>VLOOKUP(Payroll_Data_Analysis[[#This Row],[Position]],Position_Map!$A$2:$B$58,2,FALSE)</f>
        <v>Facilities</v>
      </c>
      <c r="E562" s="6">
        <v>1</v>
      </c>
      <c r="F562" s="7">
        <v>79000</v>
      </c>
      <c r="G562" s="7">
        <v>60000</v>
      </c>
      <c r="H562" s="7"/>
      <c r="I562" s="7">
        <f>dataset!$F562-dataset!$J562-dataset!$G562-dataset!$H562</f>
        <v>14200</v>
      </c>
      <c r="J562" s="7">
        <f>dataset!$G562*0.08</f>
        <v>4800</v>
      </c>
      <c r="K562" s="7">
        <f>dataset!$F562*12</f>
        <v>948000</v>
      </c>
      <c r="L562" s="12">
        <f>IF(dataset!$G562&gt;=200000,38%,IF(dataset!$G562&lt;=145000,12.3%,))</f>
        <v>0.12300000000000001</v>
      </c>
      <c r="M562" s="7">
        <f>dataset!$G562*L563*12</f>
        <v>88560.000000000015</v>
      </c>
      <c r="N562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2" s="7">
        <f>dataset!$K562+dataset!$M562</f>
        <v>1036560</v>
      </c>
      <c r="P562" s="7">
        <f>Payroll_Data_Analysis[[#This Row],[Annual Salary + KPI Bonus]]/12/29.3*31</f>
        <v>91391.808873720147</v>
      </c>
      <c r="Q562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2" s="7">
        <f>Payroll_Data_Analysis[[#This Row],[Monthly Salary]]*11</f>
        <v>869000</v>
      </c>
      <c r="S562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2" s="7">
        <f>IF(Payroll_Data_Analysis[[#This Row],[Base Salary (Monthly)]]&gt;=200000,69507,IF(Payroll_Data_Analysis[[#This Row],[Base Salary (Monthly)]]&gt;=145000,52684,35103))</f>
        <v>35103</v>
      </c>
      <c r="U562" s="7">
        <f>Payroll_Data_Analysis[[#This Row],[Annual KPI Bonus Reserve]]+Payroll_Data_Analysis[[#This Row],[Vacation Reserve]]+Payroll_Data_Analysis[[#This Row],[11-Month Salary]]</f>
        <v>1048951.8088737202</v>
      </c>
      <c r="V562" s="7">
        <f>Payroll_Data_Analysis[[#This Row],[Payroll Taxes (KPI Bonus)]]+Payroll_Data_Analysis[[#This Row],[Payroll Taxes (Vacation)]]+Payroll_Data_Analysis[[#This Row],[Payroll Taxes (Salary)]]</f>
        <v>316783.44627986348</v>
      </c>
      <c r="W562" s="13">
        <f>Payroll_Data_Analysis[[#This Row],[Total Payroll]]+Payroll_Data_Analysis[[#This Row],[Total Payroll Taxes]]</f>
        <v>1365735.2551535838</v>
      </c>
    </row>
    <row r="563" spans="1:23">
      <c r="A563" s="11" t="s">
        <v>673</v>
      </c>
      <c r="B563" s="5" t="s">
        <v>566</v>
      </c>
      <c r="C563" s="5" t="s">
        <v>737</v>
      </c>
      <c r="D563" s="28" t="str">
        <f>VLOOKUP(Payroll_Data_Analysis[[#This Row],[Position]],Position_Map!$A$2:$B$58,2,FALSE)</f>
        <v>Operations</v>
      </c>
      <c r="E563" s="6">
        <v>1</v>
      </c>
      <c r="F563" s="7">
        <v>79000</v>
      </c>
      <c r="G563" s="7">
        <v>60000</v>
      </c>
      <c r="H563" s="7"/>
      <c r="I563" s="7">
        <f>dataset!$F563-dataset!$J563-dataset!$G563-dataset!$H563</f>
        <v>14200</v>
      </c>
      <c r="J563" s="7">
        <f>dataset!$G563*0.08</f>
        <v>4800</v>
      </c>
      <c r="K563" s="7">
        <f>dataset!$F563*12</f>
        <v>948000</v>
      </c>
      <c r="L563" s="12">
        <f>IF(dataset!$G563&gt;=200000,38%,IF(dataset!$G563&lt;=145000,12.3%,))</f>
        <v>0.12300000000000001</v>
      </c>
      <c r="M563" s="7">
        <f>dataset!$G563*L564*12</f>
        <v>88560.000000000015</v>
      </c>
      <c r="N563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3" s="7">
        <f>dataset!$K563+dataset!$M563</f>
        <v>1036560</v>
      </c>
      <c r="P563" s="7">
        <f>Payroll_Data_Analysis[[#This Row],[Annual Salary + KPI Bonus]]/12/29.3*31</f>
        <v>91391.808873720147</v>
      </c>
      <c r="Q563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3" s="7">
        <f>Payroll_Data_Analysis[[#This Row],[Monthly Salary]]*11</f>
        <v>869000</v>
      </c>
      <c r="S563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3" s="7">
        <f>IF(Payroll_Data_Analysis[[#This Row],[Base Salary (Monthly)]]&gt;=200000,69507,IF(Payroll_Data_Analysis[[#This Row],[Base Salary (Monthly)]]&gt;=145000,52684,35103))</f>
        <v>35103</v>
      </c>
      <c r="U563" s="7">
        <f>Payroll_Data_Analysis[[#This Row],[Annual KPI Bonus Reserve]]+Payroll_Data_Analysis[[#This Row],[Vacation Reserve]]+Payroll_Data_Analysis[[#This Row],[11-Month Salary]]</f>
        <v>1048951.8088737202</v>
      </c>
      <c r="V563" s="7">
        <f>Payroll_Data_Analysis[[#This Row],[Payroll Taxes (KPI Bonus)]]+Payroll_Data_Analysis[[#This Row],[Payroll Taxes (Vacation)]]+Payroll_Data_Analysis[[#This Row],[Payroll Taxes (Salary)]]</f>
        <v>316783.44627986348</v>
      </c>
      <c r="W563" s="13">
        <f>Payroll_Data_Analysis[[#This Row],[Total Payroll]]+Payroll_Data_Analysis[[#This Row],[Total Payroll Taxes]]</f>
        <v>1365735.2551535838</v>
      </c>
    </row>
    <row r="564" spans="1:23">
      <c r="A564" s="11" t="s">
        <v>673</v>
      </c>
      <c r="B564" s="5" t="s">
        <v>567</v>
      </c>
      <c r="C564" s="5" t="s">
        <v>738</v>
      </c>
      <c r="D564" s="28" t="str">
        <f>VLOOKUP(Payroll_Data_Analysis[[#This Row],[Position]],Position_Map!$A$2:$B$58,2,FALSE)</f>
        <v>Facilities</v>
      </c>
      <c r="E564" s="6">
        <v>1</v>
      </c>
      <c r="F564" s="7">
        <v>79000</v>
      </c>
      <c r="G564" s="7">
        <v>60000</v>
      </c>
      <c r="H564" s="7"/>
      <c r="I564" s="7">
        <f>dataset!$F564-dataset!$J564-dataset!$G564-dataset!$H564</f>
        <v>14200</v>
      </c>
      <c r="J564" s="7">
        <f>dataset!$G564*0.08</f>
        <v>4800</v>
      </c>
      <c r="K564" s="7">
        <f>dataset!$F564*12</f>
        <v>948000</v>
      </c>
      <c r="L564" s="12">
        <f>IF(dataset!$G564&gt;=200000,38%,IF(dataset!$G564&lt;=145000,12.3%,))</f>
        <v>0.12300000000000001</v>
      </c>
      <c r="M564" s="7">
        <f>dataset!$G564*L565*12</f>
        <v>88560.000000000015</v>
      </c>
      <c r="N564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4" s="7">
        <f>dataset!$K564+dataset!$M564</f>
        <v>1036560</v>
      </c>
      <c r="P564" s="7">
        <f>Payroll_Data_Analysis[[#This Row],[Annual Salary + KPI Bonus]]/12/29.3*31</f>
        <v>91391.808873720147</v>
      </c>
      <c r="Q564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4" s="7">
        <f>Payroll_Data_Analysis[[#This Row],[Monthly Salary]]*11</f>
        <v>869000</v>
      </c>
      <c r="S564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4" s="7">
        <f>IF(Payroll_Data_Analysis[[#This Row],[Base Salary (Monthly)]]&gt;=200000,69507,IF(Payroll_Data_Analysis[[#This Row],[Base Salary (Monthly)]]&gt;=145000,52684,35103))</f>
        <v>35103</v>
      </c>
      <c r="U564" s="7">
        <f>Payroll_Data_Analysis[[#This Row],[Annual KPI Bonus Reserve]]+Payroll_Data_Analysis[[#This Row],[Vacation Reserve]]+Payroll_Data_Analysis[[#This Row],[11-Month Salary]]</f>
        <v>1048951.8088737202</v>
      </c>
      <c r="V564" s="7">
        <f>Payroll_Data_Analysis[[#This Row],[Payroll Taxes (KPI Bonus)]]+Payroll_Data_Analysis[[#This Row],[Payroll Taxes (Vacation)]]+Payroll_Data_Analysis[[#This Row],[Payroll Taxes (Salary)]]</f>
        <v>316783.44627986348</v>
      </c>
      <c r="W564" s="13">
        <f>Payroll_Data_Analysis[[#This Row],[Total Payroll]]+Payroll_Data_Analysis[[#This Row],[Total Payroll Taxes]]</f>
        <v>1365735.2551535838</v>
      </c>
    </row>
    <row r="565" spans="1:23">
      <c r="A565" s="11" t="s">
        <v>673</v>
      </c>
      <c r="B565" s="5" t="s">
        <v>568</v>
      </c>
      <c r="C565" s="5" t="s">
        <v>738</v>
      </c>
      <c r="D565" s="28" t="str">
        <f>VLOOKUP(Payroll_Data_Analysis[[#This Row],[Position]],Position_Map!$A$2:$B$58,2,FALSE)</f>
        <v>Facilities</v>
      </c>
      <c r="E565" s="6">
        <v>1</v>
      </c>
      <c r="F565" s="7">
        <v>79000</v>
      </c>
      <c r="G565" s="7">
        <v>60000</v>
      </c>
      <c r="H565" s="7"/>
      <c r="I565" s="7">
        <f>dataset!$F565-dataset!$J565-dataset!$G565-dataset!$H565</f>
        <v>14200</v>
      </c>
      <c r="J565" s="7">
        <f>dataset!$G565*0.08</f>
        <v>4800</v>
      </c>
      <c r="K565" s="7">
        <f>dataset!$F565*12</f>
        <v>948000</v>
      </c>
      <c r="L565" s="12">
        <f>IF(dataset!$G565&gt;=200000,38%,IF(dataset!$G565&lt;=145000,12.3%,))</f>
        <v>0.12300000000000001</v>
      </c>
      <c r="M565" s="7">
        <f>dataset!$G565*L566*12</f>
        <v>88560.000000000015</v>
      </c>
      <c r="N565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5" s="7">
        <f>dataset!$K565+dataset!$M565</f>
        <v>1036560</v>
      </c>
      <c r="P565" s="7">
        <f>Payroll_Data_Analysis[[#This Row],[Annual Salary + KPI Bonus]]/12/29.3*31</f>
        <v>91391.808873720147</v>
      </c>
      <c r="Q565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5" s="7">
        <f>Payroll_Data_Analysis[[#This Row],[Monthly Salary]]*11</f>
        <v>869000</v>
      </c>
      <c r="S565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5" s="7">
        <f>IF(Payroll_Data_Analysis[[#This Row],[Base Salary (Monthly)]]&gt;=200000,69507,IF(Payroll_Data_Analysis[[#This Row],[Base Salary (Monthly)]]&gt;=145000,52684,35103))</f>
        <v>35103</v>
      </c>
      <c r="U565" s="7">
        <f>Payroll_Data_Analysis[[#This Row],[Annual KPI Bonus Reserve]]+Payroll_Data_Analysis[[#This Row],[Vacation Reserve]]+Payroll_Data_Analysis[[#This Row],[11-Month Salary]]</f>
        <v>1048951.8088737202</v>
      </c>
      <c r="V565" s="7">
        <f>Payroll_Data_Analysis[[#This Row],[Payroll Taxes (KPI Bonus)]]+Payroll_Data_Analysis[[#This Row],[Payroll Taxes (Vacation)]]+Payroll_Data_Analysis[[#This Row],[Payroll Taxes (Salary)]]</f>
        <v>316783.44627986348</v>
      </c>
      <c r="W565" s="13">
        <f>Payroll_Data_Analysis[[#This Row],[Total Payroll]]+Payroll_Data_Analysis[[#This Row],[Total Payroll Taxes]]</f>
        <v>1365735.2551535838</v>
      </c>
    </row>
    <row r="566" spans="1:23">
      <c r="A566" s="11" t="s">
        <v>673</v>
      </c>
      <c r="B566" s="5" t="s">
        <v>569</v>
      </c>
      <c r="C566" s="5" t="s">
        <v>738</v>
      </c>
      <c r="D566" s="28" t="str">
        <f>VLOOKUP(Payroll_Data_Analysis[[#This Row],[Position]],Position_Map!$A$2:$B$58,2,FALSE)</f>
        <v>Facilities</v>
      </c>
      <c r="E566" s="6">
        <v>1</v>
      </c>
      <c r="F566" s="7">
        <v>79000</v>
      </c>
      <c r="G566" s="7">
        <v>60000</v>
      </c>
      <c r="H566" s="7"/>
      <c r="I566" s="7">
        <f>dataset!$F566-dataset!$J566-dataset!$G566-dataset!$H566</f>
        <v>14200</v>
      </c>
      <c r="J566" s="7">
        <f>dataset!$G566*0.08</f>
        <v>4800</v>
      </c>
      <c r="K566" s="7">
        <f>dataset!$F566*12</f>
        <v>948000</v>
      </c>
      <c r="L566" s="12">
        <f>IF(dataset!$G566&gt;=200000,38%,IF(dataset!$G566&lt;=145000,12.3%,))</f>
        <v>0.12300000000000001</v>
      </c>
      <c r="M566" s="7">
        <f>dataset!$G566*L567*12</f>
        <v>88560.000000000015</v>
      </c>
      <c r="N566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6" s="7">
        <f>dataset!$K566+dataset!$M566</f>
        <v>1036560</v>
      </c>
      <c r="P566" s="7">
        <f>Payroll_Data_Analysis[[#This Row],[Annual Salary + KPI Bonus]]/12/29.3*31</f>
        <v>91391.808873720147</v>
      </c>
      <c r="Q566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6" s="7">
        <f>Payroll_Data_Analysis[[#This Row],[Monthly Salary]]*11</f>
        <v>869000</v>
      </c>
      <c r="S566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6" s="7">
        <f>IF(Payroll_Data_Analysis[[#This Row],[Base Salary (Monthly)]]&gt;=200000,69507,IF(Payroll_Data_Analysis[[#This Row],[Base Salary (Monthly)]]&gt;=145000,52684,35103))</f>
        <v>35103</v>
      </c>
      <c r="U566" s="7">
        <f>Payroll_Data_Analysis[[#This Row],[Annual KPI Bonus Reserve]]+Payroll_Data_Analysis[[#This Row],[Vacation Reserve]]+Payroll_Data_Analysis[[#This Row],[11-Month Salary]]</f>
        <v>1048951.8088737202</v>
      </c>
      <c r="V566" s="7">
        <f>Payroll_Data_Analysis[[#This Row],[Payroll Taxes (KPI Bonus)]]+Payroll_Data_Analysis[[#This Row],[Payroll Taxes (Vacation)]]+Payroll_Data_Analysis[[#This Row],[Payroll Taxes (Salary)]]</f>
        <v>316783.44627986348</v>
      </c>
      <c r="W566" s="13">
        <f>Payroll_Data_Analysis[[#This Row],[Total Payroll]]+Payroll_Data_Analysis[[#This Row],[Total Payroll Taxes]]</f>
        <v>1365735.2551535838</v>
      </c>
    </row>
    <row r="567" spans="1:23">
      <c r="A567" s="11" t="s">
        <v>673</v>
      </c>
      <c r="B567" s="5" t="s">
        <v>570</v>
      </c>
      <c r="C567" s="5" t="s">
        <v>738</v>
      </c>
      <c r="D567" s="28" t="str">
        <f>VLOOKUP(Payroll_Data_Analysis[[#This Row],[Position]],Position_Map!$A$2:$B$58,2,FALSE)</f>
        <v>Facilities</v>
      </c>
      <c r="E567" s="6">
        <v>1</v>
      </c>
      <c r="F567" s="7">
        <v>79000</v>
      </c>
      <c r="G567" s="7">
        <v>60000</v>
      </c>
      <c r="H567" s="7"/>
      <c r="I567" s="7">
        <f>dataset!$F567-dataset!$J567-dataset!$G567-dataset!$H567</f>
        <v>14200</v>
      </c>
      <c r="J567" s="7">
        <f>dataset!$G567*0.08</f>
        <v>4800</v>
      </c>
      <c r="K567" s="7">
        <f>dataset!$F567*12</f>
        <v>948000</v>
      </c>
      <c r="L567" s="12">
        <f>IF(dataset!$G567&gt;=200000,38%,IF(dataset!$G567&lt;=145000,12.3%,))</f>
        <v>0.12300000000000001</v>
      </c>
      <c r="M567" s="7">
        <f>dataset!$G567*L568*12</f>
        <v>88560.000000000015</v>
      </c>
      <c r="N56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7" s="7">
        <f>dataset!$K567+dataset!$M567</f>
        <v>1036560</v>
      </c>
      <c r="P567" s="7">
        <f>Payroll_Data_Analysis[[#This Row],[Annual Salary + KPI Bonus]]/12/29.3*31</f>
        <v>91391.808873720147</v>
      </c>
      <c r="Q567" s="7">
        <f>IF(Payroll_Data_Analysis[[#This Row],[Vacation Reserve]]&lt;=2979000,Payroll_Data_Analysis[[#This Row],[Vacation Reserve]]*0.302,2979000*0.302+(Payroll_Data_Analysis[[#This Row],[Vacation Reserve]]-2979000)*0.151)</f>
        <v>27600.326279863482</v>
      </c>
      <c r="R567" s="7">
        <f>Payroll_Data_Analysis[[#This Row],[Monthly Salary]]*11</f>
        <v>869000</v>
      </c>
      <c r="S567" s="7">
        <f>IF(Payroll_Data_Analysis[[#This Row],[11-Month Salary]]&lt;=2979000,Payroll_Data_Analysis[[#This Row],[11-Month Salary]]*0.302,2979000*0.302+(Payroll_Data_Analysis[[#This Row],[11-Month Salary]]-2979000)*0.151)</f>
        <v>262438</v>
      </c>
      <c r="T567" s="7">
        <f>IF(Payroll_Data_Analysis[[#This Row],[Base Salary (Monthly)]]&gt;=200000,69507,IF(Payroll_Data_Analysis[[#This Row],[Base Salary (Monthly)]]&gt;=145000,52684,35103))</f>
        <v>35103</v>
      </c>
      <c r="U567" s="7">
        <f>Payroll_Data_Analysis[[#This Row],[Annual KPI Bonus Reserve]]+Payroll_Data_Analysis[[#This Row],[Vacation Reserve]]+Payroll_Data_Analysis[[#This Row],[11-Month Salary]]</f>
        <v>1048951.8088737202</v>
      </c>
      <c r="V567" s="7">
        <f>Payroll_Data_Analysis[[#This Row],[Payroll Taxes (KPI Bonus)]]+Payroll_Data_Analysis[[#This Row],[Payroll Taxes (Vacation)]]+Payroll_Data_Analysis[[#This Row],[Payroll Taxes (Salary)]]</f>
        <v>316783.44627986348</v>
      </c>
      <c r="W567" s="13">
        <f>Payroll_Data_Analysis[[#This Row],[Total Payroll]]+Payroll_Data_Analysis[[#This Row],[Total Payroll Taxes]]</f>
        <v>1365735.2551535838</v>
      </c>
    </row>
    <row r="568" spans="1:23">
      <c r="A568" s="11" t="s">
        <v>673</v>
      </c>
      <c r="B568" s="5" t="s">
        <v>571</v>
      </c>
      <c r="C568" s="5" t="s">
        <v>710</v>
      </c>
      <c r="D568" s="28" t="str">
        <f>VLOOKUP(Payroll_Data_Analysis[[#This Row],[Position]],Position_Map!$A$2:$B$58,2,FALSE)</f>
        <v>Professional</v>
      </c>
      <c r="E568" s="6">
        <v>1</v>
      </c>
      <c r="F568" s="7">
        <v>146400</v>
      </c>
      <c r="G568" s="7">
        <v>80000</v>
      </c>
      <c r="H568" s="7"/>
      <c r="I568" s="7">
        <f>dataset!$F568-dataset!$J568-dataset!$G568-dataset!$H568</f>
        <v>60000</v>
      </c>
      <c r="J568" s="7">
        <f>dataset!$G568*0.08</f>
        <v>6400</v>
      </c>
      <c r="K568" s="7">
        <f>dataset!$F568*12</f>
        <v>1756800</v>
      </c>
      <c r="L568" s="12">
        <f>IF(dataset!$G568&gt;=200000,38%,IF(dataset!$G568&lt;=145000,12.3%,))</f>
        <v>0.12300000000000001</v>
      </c>
      <c r="M568" s="7">
        <f>dataset!$G568*L569*12</f>
        <v>118080.00000000003</v>
      </c>
      <c r="N56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68" s="7">
        <f>dataset!$K568+dataset!$M568</f>
        <v>1874880</v>
      </c>
      <c r="P568" s="7">
        <f>Payroll_Data_Analysis[[#This Row],[Annual Salary + KPI Bonus]]/12/29.3*31</f>
        <v>165305.11945392491</v>
      </c>
      <c r="Q568" s="7">
        <f>IF(Payroll_Data_Analysis[[#This Row],[Vacation Reserve]]&lt;=2979000,Payroll_Data_Analysis[[#This Row],[Vacation Reserve]]*0.302,2979000*0.302+(Payroll_Data_Analysis[[#This Row],[Vacation Reserve]]-2979000)*0.151)</f>
        <v>49922.146075085322</v>
      </c>
      <c r="R568" s="7">
        <f>Payroll_Data_Analysis[[#This Row],[Monthly Salary]]*11</f>
        <v>1610400</v>
      </c>
      <c r="S568" s="7">
        <f>IF(Payroll_Data_Analysis[[#This Row],[11-Month Salary]]&lt;=2979000,Payroll_Data_Analysis[[#This Row],[11-Month Salary]]*0.302,2979000*0.302+(Payroll_Data_Analysis[[#This Row],[11-Month Salary]]-2979000)*0.151)</f>
        <v>486340.8</v>
      </c>
      <c r="T568" s="7">
        <f>IF(Payroll_Data_Analysis[[#This Row],[Base Salary (Monthly)]]&gt;=200000,69507,IF(Payroll_Data_Analysis[[#This Row],[Base Salary (Monthly)]]&gt;=145000,52684,35103))</f>
        <v>35103</v>
      </c>
      <c r="U568" s="7">
        <f>Payroll_Data_Analysis[[#This Row],[Annual KPI Bonus Reserve]]+Payroll_Data_Analysis[[#This Row],[Vacation Reserve]]+Payroll_Data_Analysis[[#This Row],[11-Month Salary]]</f>
        <v>1893785.1194539249</v>
      </c>
      <c r="V568" s="7">
        <f>Payroll_Data_Analysis[[#This Row],[Payroll Taxes (KPI Bonus)]]+Payroll_Data_Analysis[[#This Row],[Payroll Taxes (Vacation)]]+Payroll_Data_Analysis[[#This Row],[Payroll Taxes (Salary)]]</f>
        <v>571923.10607508535</v>
      </c>
      <c r="W568" s="13">
        <f>Payroll_Data_Analysis[[#This Row],[Total Payroll]]+Payroll_Data_Analysis[[#This Row],[Total Payroll Taxes]]</f>
        <v>2465708.2255290104</v>
      </c>
    </row>
    <row r="569" spans="1:23">
      <c r="A569" s="11" t="s">
        <v>673</v>
      </c>
      <c r="B569" s="5" t="s">
        <v>572</v>
      </c>
      <c r="C569" s="5" t="s">
        <v>748</v>
      </c>
      <c r="D569" s="28" t="str">
        <f>VLOOKUP(Payroll_Data_Analysis[[#This Row],[Position]],Position_Map!$A$2:$B$58,2,FALSE)</f>
        <v>Operations</v>
      </c>
      <c r="E569" s="6">
        <v>1</v>
      </c>
      <c r="F569" s="7">
        <v>90800</v>
      </c>
      <c r="G569" s="7">
        <v>60000</v>
      </c>
      <c r="H569" s="7"/>
      <c r="I569" s="7">
        <f>dataset!$F569-dataset!$J569-dataset!$G569-dataset!$H569</f>
        <v>26000</v>
      </c>
      <c r="J569" s="7">
        <f>dataset!$G569*0.08</f>
        <v>4800</v>
      </c>
      <c r="K569" s="7">
        <f>dataset!$F569*12</f>
        <v>1089600</v>
      </c>
      <c r="L569" s="12">
        <f>IF(dataset!$G569&gt;=200000,38%,IF(dataset!$G569&lt;=145000,12.3%,))</f>
        <v>0.12300000000000001</v>
      </c>
      <c r="M569" s="7">
        <f>dataset!$G569*L570*12</f>
        <v>88560.000000000015</v>
      </c>
      <c r="N569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69" s="7">
        <f>dataset!$K569+dataset!$M569</f>
        <v>1178160</v>
      </c>
      <c r="P569" s="7">
        <f>Payroll_Data_Analysis[[#This Row],[Annual Salary + KPI Bonus]]/12/29.3*31</f>
        <v>103876.45051194538</v>
      </c>
      <c r="Q569" s="7">
        <f>IF(Payroll_Data_Analysis[[#This Row],[Vacation Reserve]]&lt;=2979000,Payroll_Data_Analysis[[#This Row],[Vacation Reserve]]*0.302,2979000*0.302+(Payroll_Data_Analysis[[#This Row],[Vacation Reserve]]-2979000)*0.151)</f>
        <v>31370.688054607504</v>
      </c>
      <c r="R569" s="7">
        <f>Payroll_Data_Analysis[[#This Row],[Monthly Salary]]*11</f>
        <v>998800</v>
      </c>
      <c r="S569" s="7">
        <f>IF(Payroll_Data_Analysis[[#This Row],[11-Month Salary]]&lt;=2979000,Payroll_Data_Analysis[[#This Row],[11-Month Salary]]*0.302,2979000*0.302+(Payroll_Data_Analysis[[#This Row],[11-Month Salary]]-2979000)*0.151)</f>
        <v>301637.59999999998</v>
      </c>
      <c r="T569" s="7">
        <f>IF(Payroll_Data_Analysis[[#This Row],[Base Salary (Monthly)]]&gt;=200000,69507,IF(Payroll_Data_Analysis[[#This Row],[Base Salary (Monthly)]]&gt;=145000,52684,35103))</f>
        <v>35103</v>
      </c>
      <c r="U569" s="7">
        <f>Payroll_Data_Analysis[[#This Row],[Annual KPI Bonus Reserve]]+Payroll_Data_Analysis[[#This Row],[Vacation Reserve]]+Payroll_Data_Analysis[[#This Row],[11-Month Salary]]</f>
        <v>1191236.4505119454</v>
      </c>
      <c r="V569" s="7">
        <f>Payroll_Data_Analysis[[#This Row],[Payroll Taxes (KPI Bonus)]]+Payroll_Data_Analysis[[#This Row],[Payroll Taxes (Vacation)]]+Payroll_Data_Analysis[[#This Row],[Payroll Taxes (Salary)]]</f>
        <v>359753.40805460745</v>
      </c>
      <c r="W569" s="13">
        <f>Payroll_Data_Analysis[[#This Row],[Total Payroll]]+Payroll_Data_Analysis[[#This Row],[Total Payroll Taxes]]</f>
        <v>1550989.8585665529</v>
      </c>
    </row>
    <row r="570" spans="1:23">
      <c r="A570" s="11" t="s">
        <v>673</v>
      </c>
      <c r="B570" s="5" t="s">
        <v>573</v>
      </c>
      <c r="C570" s="5" t="s">
        <v>748</v>
      </c>
      <c r="D570" s="28" t="str">
        <f>VLOOKUP(Payroll_Data_Analysis[[#This Row],[Position]],Position_Map!$A$2:$B$58,2,FALSE)</f>
        <v>Operations</v>
      </c>
      <c r="E570" s="6">
        <v>1</v>
      </c>
      <c r="F570" s="7">
        <v>90800</v>
      </c>
      <c r="G570" s="7">
        <v>60000</v>
      </c>
      <c r="H570" s="7"/>
      <c r="I570" s="7">
        <f>dataset!$F570-dataset!$J570-dataset!$G570-dataset!$H570</f>
        <v>26000</v>
      </c>
      <c r="J570" s="7">
        <f>dataset!$G570*0.08</f>
        <v>4800</v>
      </c>
      <c r="K570" s="7">
        <f>dataset!$F570*12</f>
        <v>1089600</v>
      </c>
      <c r="L570" s="12">
        <f>IF(dataset!$G570&gt;=200000,38%,IF(dataset!$G570&lt;=145000,12.3%,))</f>
        <v>0.12300000000000001</v>
      </c>
      <c r="M570" s="7">
        <f>dataset!$G570*L571*12</f>
        <v>88560.000000000015</v>
      </c>
      <c r="N57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570" s="7">
        <f>dataset!$K570+dataset!$M570</f>
        <v>1178160</v>
      </c>
      <c r="P570" s="7">
        <f>Payroll_Data_Analysis[[#This Row],[Annual Salary + KPI Bonus]]/12/29.3*31</f>
        <v>103876.45051194538</v>
      </c>
      <c r="Q570" s="7">
        <f>IF(Payroll_Data_Analysis[[#This Row],[Vacation Reserve]]&lt;=2979000,Payroll_Data_Analysis[[#This Row],[Vacation Reserve]]*0.302,2979000*0.302+(Payroll_Data_Analysis[[#This Row],[Vacation Reserve]]-2979000)*0.151)</f>
        <v>31370.688054607504</v>
      </c>
      <c r="R570" s="7">
        <f>Payroll_Data_Analysis[[#This Row],[Monthly Salary]]*11</f>
        <v>998800</v>
      </c>
      <c r="S570" s="7">
        <f>IF(Payroll_Data_Analysis[[#This Row],[11-Month Salary]]&lt;=2979000,Payroll_Data_Analysis[[#This Row],[11-Month Salary]]*0.302,2979000*0.302+(Payroll_Data_Analysis[[#This Row],[11-Month Salary]]-2979000)*0.151)</f>
        <v>301637.59999999998</v>
      </c>
      <c r="T570" s="7">
        <f>IF(Payroll_Data_Analysis[[#This Row],[Base Salary (Monthly)]]&gt;=200000,69507,IF(Payroll_Data_Analysis[[#This Row],[Base Salary (Monthly)]]&gt;=145000,52684,35103))</f>
        <v>35103</v>
      </c>
      <c r="U570" s="7">
        <f>Payroll_Data_Analysis[[#This Row],[Annual KPI Bonus Reserve]]+Payroll_Data_Analysis[[#This Row],[Vacation Reserve]]+Payroll_Data_Analysis[[#This Row],[11-Month Salary]]</f>
        <v>1191236.4505119454</v>
      </c>
      <c r="V570" s="7">
        <f>Payroll_Data_Analysis[[#This Row],[Payroll Taxes (KPI Bonus)]]+Payroll_Data_Analysis[[#This Row],[Payroll Taxes (Vacation)]]+Payroll_Data_Analysis[[#This Row],[Payroll Taxes (Salary)]]</f>
        <v>359753.40805460745</v>
      </c>
      <c r="W570" s="13">
        <f>Payroll_Data_Analysis[[#This Row],[Total Payroll]]+Payroll_Data_Analysis[[#This Row],[Total Payroll Taxes]]</f>
        <v>1550989.8585665529</v>
      </c>
    </row>
    <row r="571" spans="1:23">
      <c r="A571" s="11" t="s">
        <v>674</v>
      </c>
      <c r="B571" s="5" t="s">
        <v>574</v>
      </c>
      <c r="C571" s="5" t="s">
        <v>703</v>
      </c>
      <c r="D571" s="28" t="str">
        <f>VLOOKUP(Payroll_Data_Analysis[[#This Row],[Position]],Position_Map!$A$2:$B$58,2,FALSE)</f>
        <v>Management</v>
      </c>
      <c r="E571" s="6">
        <v>1</v>
      </c>
      <c r="F571" s="7">
        <v>276100</v>
      </c>
      <c r="G571" s="7">
        <v>145000</v>
      </c>
      <c r="H571" s="7">
        <v>14500</v>
      </c>
      <c r="I571" s="7">
        <f>dataset!$F571-dataset!$J571-dataset!$G571-dataset!$H571</f>
        <v>105000</v>
      </c>
      <c r="J571" s="7">
        <f>dataset!$G571*0.08</f>
        <v>11600</v>
      </c>
      <c r="K571" s="7">
        <f>dataset!$F571*12</f>
        <v>3313200</v>
      </c>
      <c r="L571" s="12">
        <f>IF(dataset!$G571&gt;=200000,38%,IF(dataset!$G571&lt;=145000,12.3%,))</f>
        <v>0.12300000000000001</v>
      </c>
      <c r="M571" s="7">
        <f>dataset!$G571*L572*12</f>
        <v>214020</v>
      </c>
      <c r="N57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71" s="7">
        <f>dataset!$K571+dataset!$M571</f>
        <v>3527220</v>
      </c>
      <c r="P571" s="7">
        <f>Payroll_Data_Analysis[[#This Row],[Annual Salary + KPI Bonus]]/12/29.3*31</f>
        <v>310989.24914675765</v>
      </c>
      <c r="Q571" s="7">
        <f>IF(Payroll_Data_Analysis[[#This Row],[Vacation Reserve]]&lt;=2979000,Payroll_Data_Analysis[[#This Row],[Vacation Reserve]]*0.302,2979000*0.302+(Payroll_Data_Analysis[[#This Row],[Vacation Reserve]]-2979000)*0.151)</f>
        <v>93918.753242320803</v>
      </c>
      <c r="R571" s="7">
        <f>Payroll_Data_Analysis[[#This Row],[Monthly Salary]]*11</f>
        <v>3037100</v>
      </c>
      <c r="S571" s="7">
        <f>IF(Payroll_Data_Analysis[[#This Row],[11-Month Salary]]&lt;=2979000,Payroll_Data_Analysis[[#This Row],[11-Month Salary]]*0.302,2979000*0.302+(Payroll_Data_Analysis[[#This Row],[11-Month Salary]]-2979000)*0.151)</f>
        <v>908431.1</v>
      </c>
      <c r="T571" s="7">
        <f>IF(Payroll_Data_Analysis[[#This Row],[Base Salary (Monthly)]]&gt;=200000,69507,IF(Payroll_Data_Analysis[[#This Row],[Base Salary (Monthly)]]&gt;=145000,52684,35103))</f>
        <v>52684</v>
      </c>
      <c r="U571" s="7">
        <f>Payroll_Data_Analysis[[#This Row],[Annual KPI Bonus Reserve]]+Payroll_Data_Analysis[[#This Row],[Vacation Reserve]]+Payroll_Data_Analysis[[#This Row],[11-Month Salary]]</f>
        <v>3562109.2491467576</v>
      </c>
      <c r="V571" s="7">
        <f>Payroll_Data_Analysis[[#This Row],[Payroll Taxes (KPI Bonus)]]+Payroll_Data_Analysis[[#This Row],[Payroll Taxes (Vacation)]]+Payroll_Data_Analysis[[#This Row],[Payroll Taxes (Salary)]]</f>
        <v>1066983.8932423207</v>
      </c>
      <c r="W571" s="13">
        <f>Payroll_Data_Analysis[[#This Row],[Total Payroll]]+Payroll_Data_Analysis[[#This Row],[Total Payroll Taxes]]</f>
        <v>4629093.1423890786</v>
      </c>
    </row>
    <row r="572" spans="1:23">
      <c r="A572" s="11" t="s">
        <v>674</v>
      </c>
      <c r="B572" s="5" t="s">
        <v>575</v>
      </c>
      <c r="C572" s="5" t="s">
        <v>704</v>
      </c>
      <c r="D572" s="28" t="str">
        <f>VLOOKUP(Payroll_Data_Analysis[[#This Row],[Position]],Position_Map!$A$2:$B$58,2,FALSE)</f>
        <v>Management</v>
      </c>
      <c r="E572" s="6">
        <v>1</v>
      </c>
      <c r="F572" s="7">
        <v>236600</v>
      </c>
      <c r="G572" s="7">
        <v>145000</v>
      </c>
      <c r="H572" s="7"/>
      <c r="I572" s="7">
        <f>dataset!$F572-dataset!$J572-dataset!$G572-dataset!$H572</f>
        <v>80000</v>
      </c>
      <c r="J572" s="7">
        <f>dataset!$G572*0.08</f>
        <v>11600</v>
      </c>
      <c r="K572" s="7">
        <f>dataset!$F572*12</f>
        <v>2839200</v>
      </c>
      <c r="L572" s="12">
        <f>IF(dataset!$G572&gt;=200000,38%,IF(dataset!$G572&lt;=145000,12.3%,))</f>
        <v>0.12300000000000001</v>
      </c>
      <c r="M572" s="7">
        <f>dataset!$G572*L573*12</f>
        <v>214020</v>
      </c>
      <c r="N57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72" s="7">
        <f>dataset!$K572+dataset!$M572</f>
        <v>3053220</v>
      </c>
      <c r="P572" s="7">
        <f>Payroll_Data_Analysis[[#This Row],[Annual Salary + KPI Bonus]]/12/29.3*31</f>
        <v>269197.44027303759</v>
      </c>
      <c r="Q572" s="7">
        <f>IF(Payroll_Data_Analysis[[#This Row],[Vacation Reserve]]&lt;=2979000,Payroll_Data_Analysis[[#This Row],[Vacation Reserve]]*0.302,2979000*0.302+(Payroll_Data_Analysis[[#This Row],[Vacation Reserve]]-2979000)*0.151)</f>
        <v>81297.626962457347</v>
      </c>
      <c r="R572" s="7">
        <f>Payroll_Data_Analysis[[#This Row],[Monthly Salary]]*11</f>
        <v>2602600</v>
      </c>
      <c r="S572" s="7">
        <f>IF(Payroll_Data_Analysis[[#This Row],[11-Month Salary]]&lt;=2979000,Payroll_Data_Analysis[[#This Row],[11-Month Salary]]*0.302,2979000*0.302+(Payroll_Data_Analysis[[#This Row],[11-Month Salary]]-2979000)*0.151)</f>
        <v>785985.2</v>
      </c>
      <c r="T572" s="7">
        <f>IF(Payroll_Data_Analysis[[#This Row],[Base Salary (Monthly)]]&gt;=200000,69507,IF(Payroll_Data_Analysis[[#This Row],[Base Salary (Monthly)]]&gt;=145000,52684,35103))</f>
        <v>52684</v>
      </c>
      <c r="U572" s="7">
        <f>Payroll_Data_Analysis[[#This Row],[Annual KPI Bonus Reserve]]+Payroll_Data_Analysis[[#This Row],[Vacation Reserve]]+Payroll_Data_Analysis[[#This Row],[11-Month Salary]]</f>
        <v>3085817.4402730376</v>
      </c>
      <c r="V572" s="7">
        <f>Payroll_Data_Analysis[[#This Row],[Payroll Taxes (KPI Bonus)]]+Payroll_Data_Analysis[[#This Row],[Payroll Taxes (Vacation)]]+Payroll_Data_Analysis[[#This Row],[Payroll Taxes (Salary)]]</f>
        <v>931916.86696245731</v>
      </c>
      <c r="W572" s="13">
        <f>Payroll_Data_Analysis[[#This Row],[Total Payroll]]+Payroll_Data_Analysis[[#This Row],[Total Payroll Taxes]]</f>
        <v>4017734.3072354952</v>
      </c>
    </row>
    <row r="573" spans="1:23">
      <c r="A573" s="11" t="s">
        <v>674</v>
      </c>
      <c r="B573" s="5" t="s">
        <v>576</v>
      </c>
      <c r="C573" s="5" t="s">
        <v>708</v>
      </c>
      <c r="D573" s="28" t="str">
        <f>VLOOKUP(Payroll_Data_Analysis[[#This Row],[Position]],Position_Map!$A$2:$B$58,2,FALSE)</f>
        <v>Professional</v>
      </c>
      <c r="E573" s="6">
        <v>1</v>
      </c>
      <c r="F573" s="7">
        <v>118400</v>
      </c>
      <c r="G573" s="7">
        <v>80000</v>
      </c>
      <c r="H573" s="7"/>
      <c r="I573" s="7">
        <f>dataset!$F573-dataset!$J573-dataset!$G573-dataset!$H573</f>
        <v>32000</v>
      </c>
      <c r="J573" s="7">
        <f>dataset!$G573*0.08</f>
        <v>6400</v>
      </c>
      <c r="K573" s="7">
        <f>dataset!$F573*12</f>
        <v>1420800</v>
      </c>
      <c r="L573" s="12">
        <f>IF(dataset!$G573&gt;=200000,38%,IF(dataset!$G573&lt;=145000,12.3%,))</f>
        <v>0.12300000000000001</v>
      </c>
      <c r="M573" s="7">
        <f>dataset!$G573*L574*12</f>
        <v>118080.00000000003</v>
      </c>
      <c r="N57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3" s="7">
        <f>dataset!$K573+dataset!$M573</f>
        <v>1538880</v>
      </c>
      <c r="P573" s="7">
        <f>Payroll_Data_Analysis[[#This Row],[Annual Salary + KPI Bonus]]/12/29.3*31</f>
        <v>135680.54607508532</v>
      </c>
      <c r="Q573" s="7">
        <f>IF(Payroll_Data_Analysis[[#This Row],[Vacation Reserve]]&lt;=2979000,Payroll_Data_Analysis[[#This Row],[Vacation Reserve]]*0.302,2979000*0.302+(Payroll_Data_Analysis[[#This Row],[Vacation Reserve]]-2979000)*0.151)</f>
        <v>40975.524914675763</v>
      </c>
      <c r="R573" s="7">
        <f>Payroll_Data_Analysis[[#This Row],[Monthly Salary]]*11</f>
        <v>1302400</v>
      </c>
      <c r="S573" s="7">
        <f>IF(Payroll_Data_Analysis[[#This Row],[11-Month Salary]]&lt;=2979000,Payroll_Data_Analysis[[#This Row],[11-Month Salary]]*0.302,2979000*0.302+(Payroll_Data_Analysis[[#This Row],[11-Month Salary]]-2979000)*0.151)</f>
        <v>393324.79999999999</v>
      </c>
      <c r="T573" s="7">
        <f>IF(Payroll_Data_Analysis[[#This Row],[Base Salary (Monthly)]]&gt;=200000,69507,IF(Payroll_Data_Analysis[[#This Row],[Base Salary (Monthly)]]&gt;=145000,52684,35103))</f>
        <v>35103</v>
      </c>
      <c r="U573" s="7">
        <f>Payroll_Data_Analysis[[#This Row],[Annual KPI Bonus Reserve]]+Payroll_Data_Analysis[[#This Row],[Vacation Reserve]]+Payroll_Data_Analysis[[#This Row],[11-Month Salary]]</f>
        <v>1556160.5460750854</v>
      </c>
      <c r="V573" s="7">
        <f>Payroll_Data_Analysis[[#This Row],[Payroll Taxes (KPI Bonus)]]+Payroll_Data_Analysis[[#This Row],[Payroll Taxes (Vacation)]]+Payroll_Data_Analysis[[#This Row],[Payroll Taxes (Salary)]]</f>
        <v>469960.48491467576</v>
      </c>
      <c r="W573" s="13">
        <f>Payroll_Data_Analysis[[#This Row],[Total Payroll]]+Payroll_Data_Analysis[[#This Row],[Total Payroll Taxes]]</f>
        <v>2026121.0309897612</v>
      </c>
    </row>
    <row r="574" spans="1:23">
      <c r="A574" s="11" t="s">
        <v>674</v>
      </c>
      <c r="B574" s="5" t="s">
        <v>577</v>
      </c>
      <c r="C574" s="5" t="s">
        <v>709</v>
      </c>
      <c r="D574" s="28" t="str">
        <f>VLOOKUP(Payroll_Data_Analysis[[#This Row],[Position]],Position_Map!$A$2:$B$58,2,FALSE)</f>
        <v>Engineering</v>
      </c>
      <c r="E574" s="6">
        <v>1</v>
      </c>
      <c r="F574" s="7">
        <v>56000</v>
      </c>
      <c r="G574" s="7">
        <v>35000</v>
      </c>
      <c r="H574" s="7"/>
      <c r="I574" s="7">
        <f>dataset!$F574-dataset!$J574-dataset!$G574-dataset!$H574</f>
        <v>18200</v>
      </c>
      <c r="J574" s="7">
        <f>dataset!$G574*0.08</f>
        <v>2800</v>
      </c>
      <c r="K574" s="7">
        <f>dataset!$F574*12</f>
        <v>672000</v>
      </c>
      <c r="L574" s="12">
        <f>IF(dataset!$G574&gt;=200000,38%,IF(dataset!$G574&lt;=145000,12.3%,))</f>
        <v>0.12300000000000001</v>
      </c>
      <c r="M574" s="7">
        <f>dataset!$G574*L575*12</f>
        <v>51660</v>
      </c>
      <c r="N574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74" s="7">
        <f>dataset!$K574+dataset!$M574</f>
        <v>723660</v>
      </c>
      <c r="P574" s="7">
        <f>Payroll_Data_Analysis[[#This Row],[Annual Salary + KPI Bonus]]/12/29.3*31</f>
        <v>63803.924914675772</v>
      </c>
      <c r="Q574" s="7">
        <f>IF(Payroll_Data_Analysis[[#This Row],[Vacation Reserve]]&lt;=2979000,Payroll_Data_Analysis[[#This Row],[Vacation Reserve]]*0.302,2979000*0.302+(Payroll_Data_Analysis[[#This Row],[Vacation Reserve]]-2979000)*0.151)</f>
        <v>19268.785324232082</v>
      </c>
      <c r="R574" s="7">
        <f>Payroll_Data_Analysis[[#This Row],[Monthly Salary]]*11</f>
        <v>616000</v>
      </c>
      <c r="S574" s="7">
        <f>IF(Payroll_Data_Analysis[[#This Row],[11-Month Salary]]&lt;=2979000,Payroll_Data_Analysis[[#This Row],[11-Month Salary]]*0.302,2979000*0.302+(Payroll_Data_Analysis[[#This Row],[11-Month Salary]]-2979000)*0.151)</f>
        <v>186032</v>
      </c>
      <c r="T574" s="7">
        <f>IF(Payroll_Data_Analysis[[#This Row],[Base Salary (Monthly)]]&gt;=200000,69507,IF(Payroll_Data_Analysis[[#This Row],[Base Salary (Monthly)]]&gt;=145000,52684,35103))</f>
        <v>35103</v>
      </c>
      <c r="U574" s="7">
        <f>Payroll_Data_Analysis[[#This Row],[Annual KPI Bonus Reserve]]+Payroll_Data_Analysis[[#This Row],[Vacation Reserve]]+Payroll_Data_Analysis[[#This Row],[11-Month Salary]]</f>
        <v>731463.92491467576</v>
      </c>
      <c r="V574" s="7">
        <f>Payroll_Data_Analysis[[#This Row],[Payroll Taxes (KPI Bonus)]]+Payroll_Data_Analysis[[#This Row],[Payroll Taxes (Vacation)]]+Payroll_Data_Analysis[[#This Row],[Payroll Taxes (Salary)]]</f>
        <v>220902.10532423208</v>
      </c>
      <c r="W574" s="13">
        <f>Payroll_Data_Analysis[[#This Row],[Total Payroll]]+Payroll_Data_Analysis[[#This Row],[Total Payroll Taxes]]</f>
        <v>952366.03023890778</v>
      </c>
    </row>
    <row r="575" spans="1:23">
      <c r="A575" s="11" t="s">
        <v>674</v>
      </c>
      <c r="B575" s="5" t="s">
        <v>578</v>
      </c>
      <c r="C575" s="5" t="s">
        <v>709</v>
      </c>
      <c r="D575" s="28" t="str">
        <f>VLOOKUP(Payroll_Data_Analysis[[#This Row],[Position]],Position_Map!$A$2:$B$58,2,FALSE)</f>
        <v>Engineering</v>
      </c>
      <c r="E575" s="6">
        <v>1</v>
      </c>
      <c r="F575" s="7">
        <v>103400</v>
      </c>
      <c r="G575" s="7">
        <v>80000</v>
      </c>
      <c r="H575" s="7"/>
      <c r="I575" s="7">
        <f>dataset!$F575-dataset!$J575-dataset!$G575-dataset!$H575</f>
        <v>17000</v>
      </c>
      <c r="J575" s="7">
        <f>dataset!$G575*0.08</f>
        <v>6400</v>
      </c>
      <c r="K575" s="7">
        <f>dataset!$F575*12</f>
        <v>1240800</v>
      </c>
      <c r="L575" s="12">
        <f>IF(dataset!$G575&gt;=200000,38%,IF(dataset!$G575&lt;=145000,12.3%,))</f>
        <v>0.12300000000000001</v>
      </c>
      <c r="M575" s="7">
        <f>dataset!$G575*L576*12</f>
        <v>118080.00000000003</v>
      </c>
      <c r="N57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5" s="7">
        <f>dataset!$K575+dataset!$M575</f>
        <v>1358880</v>
      </c>
      <c r="P575" s="7">
        <f>Payroll_Data_Analysis[[#This Row],[Annual Salary + KPI Bonus]]/12/29.3*31</f>
        <v>119810.23890784982</v>
      </c>
      <c r="Q575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75" s="7">
        <f>Payroll_Data_Analysis[[#This Row],[Monthly Salary]]*11</f>
        <v>1137400</v>
      </c>
      <c r="S575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75" s="7">
        <f>IF(Payroll_Data_Analysis[[#This Row],[Base Salary (Monthly)]]&gt;=200000,69507,IF(Payroll_Data_Analysis[[#This Row],[Base Salary (Monthly)]]&gt;=145000,52684,35103))</f>
        <v>35103</v>
      </c>
      <c r="U575" s="7">
        <f>Payroll_Data_Analysis[[#This Row],[Annual KPI Bonus Reserve]]+Payroll_Data_Analysis[[#This Row],[Vacation Reserve]]+Payroll_Data_Analysis[[#This Row],[11-Month Salary]]</f>
        <v>1375290.2389078499</v>
      </c>
      <c r="V575" s="7">
        <f>Payroll_Data_Analysis[[#This Row],[Payroll Taxes (KPI Bonus)]]+Payroll_Data_Analysis[[#This Row],[Payroll Taxes (Vacation)]]+Payroll_Data_Analysis[[#This Row],[Payroll Taxes (Salary)]]</f>
        <v>415337.65215017064</v>
      </c>
      <c r="W575" s="13">
        <f>Payroll_Data_Analysis[[#This Row],[Total Payroll]]+Payroll_Data_Analysis[[#This Row],[Total Payroll Taxes]]</f>
        <v>1790627.8910580205</v>
      </c>
    </row>
    <row r="576" spans="1:23">
      <c r="A576" s="11" t="s">
        <v>674</v>
      </c>
      <c r="B576" s="5" t="s">
        <v>579</v>
      </c>
      <c r="C576" s="5" t="s">
        <v>709</v>
      </c>
      <c r="D576" s="28" t="str">
        <f>VLOOKUP(Payroll_Data_Analysis[[#This Row],[Position]],Position_Map!$A$2:$B$58,2,FALSE)</f>
        <v>Engineering</v>
      </c>
      <c r="E576" s="6">
        <v>1</v>
      </c>
      <c r="F576" s="7">
        <v>103400</v>
      </c>
      <c r="G576" s="7">
        <v>80000</v>
      </c>
      <c r="H576" s="7"/>
      <c r="I576" s="7">
        <f>dataset!$F576-dataset!$J576-dataset!$G576-dataset!$H576</f>
        <v>17000</v>
      </c>
      <c r="J576" s="7">
        <f>dataset!$G576*0.08</f>
        <v>6400</v>
      </c>
      <c r="K576" s="7">
        <f>dataset!$F576*12</f>
        <v>1240800</v>
      </c>
      <c r="L576" s="12">
        <f>IF(dataset!$G576&gt;=200000,38%,IF(dataset!$G576&lt;=145000,12.3%,))</f>
        <v>0.12300000000000001</v>
      </c>
      <c r="M576" s="7">
        <f>dataset!$G576*L577*12</f>
        <v>118080.00000000003</v>
      </c>
      <c r="N57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6" s="7">
        <f>dataset!$K576+dataset!$M576</f>
        <v>1358880</v>
      </c>
      <c r="P576" s="7">
        <f>Payroll_Data_Analysis[[#This Row],[Annual Salary + KPI Bonus]]/12/29.3*31</f>
        <v>119810.23890784982</v>
      </c>
      <c r="Q576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76" s="7">
        <f>Payroll_Data_Analysis[[#This Row],[Monthly Salary]]*11</f>
        <v>1137400</v>
      </c>
      <c r="S576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76" s="7">
        <f>IF(Payroll_Data_Analysis[[#This Row],[Base Salary (Monthly)]]&gt;=200000,69507,IF(Payroll_Data_Analysis[[#This Row],[Base Salary (Monthly)]]&gt;=145000,52684,35103))</f>
        <v>35103</v>
      </c>
      <c r="U576" s="7">
        <f>Payroll_Data_Analysis[[#This Row],[Annual KPI Bonus Reserve]]+Payroll_Data_Analysis[[#This Row],[Vacation Reserve]]+Payroll_Data_Analysis[[#This Row],[11-Month Salary]]</f>
        <v>1375290.2389078499</v>
      </c>
      <c r="V576" s="7">
        <f>Payroll_Data_Analysis[[#This Row],[Payroll Taxes (KPI Bonus)]]+Payroll_Data_Analysis[[#This Row],[Payroll Taxes (Vacation)]]+Payroll_Data_Analysis[[#This Row],[Payroll Taxes (Salary)]]</f>
        <v>415337.65215017064</v>
      </c>
      <c r="W576" s="13">
        <f>Payroll_Data_Analysis[[#This Row],[Total Payroll]]+Payroll_Data_Analysis[[#This Row],[Total Payroll Taxes]]</f>
        <v>1790627.8910580205</v>
      </c>
    </row>
    <row r="577" spans="1:23">
      <c r="A577" s="11" t="s">
        <v>674</v>
      </c>
      <c r="B577" s="5" t="s">
        <v>580</v>
      </c>
      <c r="C577" s="5" t="s">
        <v>709</v>
      </c>
      <c r="D577" s="28" t="str">
        <f>VLOOKUP(Payroll_Data_Analysis[[#This Row],[Position]],Position_Map!$A$2:$B$58,2,FALSE)</f>
        <v>Engineering</v>
      </c>
      <c r="E577" s="6">
        <v>1</v>
      </c>
      <c r="F577" s="7">
        <v>103400</v>
      </c>
      <c r="G577" s="7">
        <v>80000</v>
      </c>
      <c r="H577" s="7"/>
      <c r="I577" s="7">
        <f>dataset!$F577-dataset!$J577-dataset!$G577-dataset!$H577</f>
        <v>17000</v>
      </c>
      <c r="J577" s="7">
        <f>dataset!$G577*0.08</f>
        <v>6400</v>
      </c>
      <c r="K577" s="7">
        <f>dataset!$F577*12</f>
        <v>1240800</v>
      </c>
      <c r="L577" s="12">
        <f>IF(dataset!$G577&gt;=200000,38%,IF(dataset!$G577&lt;=145000,12.3%,))</f>
        <v>0.12300000000000001</v>
      </c>
      <c r="M577" s="7">
        <f>dataset!$G577*L578*12</f>
        <v>118080.00000000003</v>
      </c>
      <c r="N57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7" s="7">
        <f>dataset!$K577+dataset!$M577</f>
        <v>1358880</v>
      </c>
      <c r="P577" s="7">
        <f>Payroll_Data_Analysis[[#This Row],[Annual Salary + KPI Bonus]]/12/29.3*31</f>
        <v>119810.23890784982</v>
      </c>
      <c r="Q577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77" s="7">
        <f>Payroll_Data_Analysis[[#This Row],[Monthly Salary]]*11</f>
        <v>1137400</v>
      </c>
      <c r="S577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77" s="7">
        <f>IF(Payroll_Data_Analysis[[#This Row],[Base Salary (Monthly)]]&gt;=200000,69507,IF(Payroll_Data_Analysis[[#This Row],[Base Salary (Monthly)]]&gt;=145000,52684,35103))</f>
        <v>35103</v>
      </c>
      <c r="U577" s="7">
        <f>Payroll_Data_Analysis[[#This Row],[Annual KPI Bonus Reserve]]+Payroll_Data_Analysis[[#This Row],[Vacation Reserve]]+Payroll_Data_Analysis[[#This Row],[11-Month Salary]]</f>
        <v>1375290.2389078499</v>
      </c>
      <c r="V577" s="7">
        <f>Payroll_Data_Analysis[[#This Row],[Payroll Taxes (KPI Bonus)]]+Payroll_Data_Analysis[[#This Row],[Payroll Taxes (Vacation)]]+Payroll_Data_Analysis[[#This Row],[Payroll Taxes (Salary)]]</f>
        <v>415337.65215017064</v>
      </c>
      <c r="W577" s="13">
        <f>Payroll_Data_Analysis[[#This Row],[Total Payroll]]+Payroll_Data_Analysis[[#This Row],[Total Payroll Taxes]]</f>
        <v>1790627.8910580205</v>
      </c>
    </row>
    <row r="578" spans="1:23">
      <c r="A578" s="11" t="s">
        <v>674</v>
      </c>
      <c r="B578" s="5" t="s">
        <v>581</v>
      </c>
      <c r="C578" s="5" t="s">
        <v>709</v>
      </c>
      <c r="D578" s="28" t="str">
        <f>VLOOKUP(Payroll_Data_Analysis[[#This Row],[Position]],Position_Map!$A$2:$B$58,2,FALSE)</f>
        <v>Engineering</v>
      </c>
      <c r="E578" s="6">
        <v>1</v>
      </c>
      <c r="F578" s="7">
        <v>103400</v>
      </c>
      <c r="G578" s="7">
        <v>80000</v>
      </c>
      <c r="H578" s="7"/>
      <c r="I578" s="7">
        <f>dataset!$F578-dataset!$J578-dataset!$G578-dataset!$H578</f>
        <v>17000</v>
      </c>
      <c r="J578" s="7">
        <f>dataset!$G578*0.08</f>
        <v>6400</v>
      </c>
      <c r="K578" s="7">
        <f>dataset!$F578*12</f>
        <v>1240800</v>
      </c>
      <c r="L578" s="12">
        <f>IF(dataset!$G578&gt;=200000,38%,IF(dataset!$G578&lt;=145000,12.3%,))</f>
        <v>0.12300000000000001</v>
      </c>
      <c r="M578" s="7">
        <f>dataset!$G578*L579*12</f>
        <v>118080.00000000003</v>
      </c>
      <c r="N57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8" s="7">
        <f>dataset!$K578+dataset!$M578</f>
        <v>1358880</v>
      </c>
      <c r="P578" s="7">
        <f>Payroll_Data_Analysis[[#This Row],[Annual Salary + KPI Bonus]]/12/29.3*31</f>
        <v>119810.23890784982</v>
      </c>
      <c r="Q578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78" s="7">
        <f>Payroll_Data_Analysis[[#This Row],[Monthly Salary]]*11</f>
        <v>1137400</v>
      </c>
      <c r="S578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78" s="7">
        <f>IF(Payroll_Data_Analysis[[#This Row],[Base Salary (Monthly)]]&gt;=200000,69507,IF(Payroll_Data_Analysis[[#This Row],[Base Salary (Monthly)]]&gt;=145000,52684,35103))</f>
        <v>35103</v>
      </c>
      <c r="U578" s="7">
        <f>Payroll_Data_Analysis[[#This Row],[Annual KPI Bonus Reserve]]+Payroll_Data_Analysis[[#This Row],[Vacation Reserve]]+Payroll_Data_Analysis[[#This Row],[11-Month Salary]]</f>
        <v>1375290.2389078499</v>
      </c>
      <c r="V578" s="7">
        <f>Payroll_Data_Analysis[[#This Row],[Payroll Taxes (KPI Bonus)]]+Payroll_Data_Analysis[[#This Row],[Payroll Taxes (Vacation)]]+Payroll_Data_Analysis[[#This Row],[Payroll Taxes (Salary)]]</f>
        <v>415337.65215017064</v>
      </c>
      <c r="W578" s="13">
        <f>Payroll_Data_Analysis[[#This Row],[Total Payroll]]+Payroll_Data_Analysis[[#This Row],[Total Payroll Taxes]]</f>
        <v>1790627.8910580205</v>
      </c>
    </row>
    <row r="579" spans="1:23">
      <c r="A579" s="11" t="s">
        <v>674</v>
      </c>
      <c r="B579" s="5" t="s">
        <v>582</v>
      </c>
      <c r="C579" s="5" t="s">
        <v>709</v>
      </c>
      <c r="D579" s="28" t="str">
        <f>VLOOKUP(Payroll_Data_Analysis[[#This Row],[Position]],Position_Map!$A$2:$B$58,2,FALSE)</f>
        <v>Engineering</v>
      </c>
      <c r="E579" s="6">
        <v>1</v>
      </c>
      <c r="F579" s="7">
        <v>103400</v>
      </c>
      <c r="G579" s="7">
        <v>80000</v>
      </c>
      <c r="H579" s="7"/>
      <c r="I579" s="7">
        <f>dataset!$F579-dataset!$J579-dataset!$G579-dataset!$H579</f>
        <v>17000</v>
      </c>
      <c r="J579" s="7">
        <f>dataset!$G579*0.08</f>
        <v>6400</v>
      </c>
      <c r="K579" s="7">
        <f>dataset!$F579*12</f>
        <v>1240800</v>
      </c>
      <c r="L579" s="12">
        <f>IF(dataset!$G579&gt;=200000,38%,IF(dataset!$G579&lt;=145000,12.3%,))</f>
        <v>0.12300000000000001</v>
      </c>
      <c r="M579" s="7">
        <f>dataset!$G579*L580*12</f>
        <v>118080.00000000003</v>
      </c>
      <c r="N579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79" s="7">
        <f>dataset!$K579+dataset!$M579</f>
        <v>1358880</v>
      </c>
      <c r="P579" s="7">
        <f>Payroll_Data_Analysis[[#This Row],[Annual Salary + KPI Bonus]]/12/29.3*31</f>
        <v>119810.23890784982</v>
      </c>
      <c r="Q579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79" s="7">
        <f>Payroll_Data_Analysis[[#This Row],[Monthly Salary]]*11</f>
        <v>1137400</v>
      </c>
      <c r="S579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79" s="7">
        <f>IF(Payroll_Data_Analysis[[#This Row],[Base Salary (Monthly)]]&gt;=200000,69507,IF(Payroll_Data_Analysis[[#This Row],[Base Salary (Monthly)]]&gt;=145000,52684,35103))</f>
        <v>35103</v>
      </c>
      <c r="U579" s="7">
        <f>Payroll_Data_Analysis[[#This Row],[Annual KPI Bonus Reserve]]+Payroll_Data_Analysis[[#This Row],[Vacation Reserve]]+Payroll_Data_Analysis[[#This Row],[11-Month Salary]]</f>
        <v>1375290.2389078499</v>
      </c>
      <c r="V579" s="7">
        <f>Payroll_Data_Analysis[[#This Row],[Payroll Taxes (KPI Bonus)]]+Payroll_Data_Analysis[[#This Row],[Payroll Taxes (Vacation)]]+Payroll_Data_Analysis[[#This Row],[Payroll Taxes (Salary)]]</f>
        <v>415337.65215017064</v>
      </c>
      <c r="W579" s="13">
        <f>Payroll_Data_Analysis[[#This Row],[Total Payroll]]+Payroll_Data_Analysis[[#This Row],[Total Payroll Taxes]]</f>
        <v>1790627.8910580205</v>
      </c>
    </row>
    <row r="580" spans="1:23">
      <c r="A580" s="11" t="s">
        <v>674</v>
      </c>
      <c r="B580" s="5" t="s">
        <v>583</v>
      </c>
      <c r="C580" s="5" t="s">
        <v>709</v>
      </c>
      <c r="D580" s="28" t="str">
        <f>VLOOKUP(Payroll_Data_Analysis[[#This Row],[Position]],Position_Map!$A$2:$B$58,2,FALSE)</f>
        <v>Engineering</v>
      </c>
      <c r="E580" s="6">
        <v>1</v>
      </c>
      <c r="F580" s="7">
        <v>103400</v>
      </c>
      <c r="G580" s="7">
        <v>80000</v>
      </c>
      <c r="H580" s="7"/>
      <c r="I580" s="7">
        <f>dataset!$F580-dataset!$J580-dataset!$G580-dataset!$H580</f>
        <v>17000</v>
      </c>
      <c r="J580" s="7">
        <f>dataset!$G580*0.08</f>
        <v>6400</v>
      </c>
      <c r="K580" s="7">
        <f>dataset!$F580*12</f>
        <v>1240800</v>
      </c>
      <c r="L580" s="12">
        <f>IF(dataset!$G580&gt;=200000,38%,IF(dataset!$G580&lt;=145000,12.3%,))</f>
        <v>0.12300000000000001</v>
      </c>
      <c r="M580" s="7">
        <f>dataset!$G580*L581*12</f>
        <v>118080.00000000003</v>
      </c>
      <c r="N580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0" s="7">
        <f>dataset!$K580+dataset!$M580</f>
        <v>1358880</v>
      </c>
      <c r="P580" s="7">
        <f>Payroll_Data_Analysis[[#This Row],[Annual Salary + KPI Bonus]]/12/29.3*31</f>
        <v>119810.23890784982</v>
      </c>
      <c r="Q580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0" s="7">
        <f>Payroll_Data_Analysis[[#This Row],[Monthly Salary]]*11</f>
        <v>1137400</v>
      </c>
      <c r="S580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0" s="7">
        <f>IF(Payroll_Data_Analysis[[#This Row],[Base Salary (Monthly)]]&gt;=200000,69507,IF(Payroll_Data_Analysis[[#This Row],[Base Salary (Monthly)]]&gt;=145000,52684,35103))</f>
        <v>35103</v>
      </c>
      <c r="U580" s="7">
        <f>Payroll_Data_Analysis[[#This Row],[Annual KPI Bonus Reserve]]+Payroll_Data_Analysis[[#This Row],[Vacation Reserve]]+Payroll_Data_Analysis[[#This Row],[11-Month Salary]]</f>
        <v>1375290.2389078499</v>
      </c>
      <c r="V580" s="7">
        <f>Payroll_Data_Analysis[[#This Row],[Payroll Taxes (KPI Bonus)]]+Payroll_Data_Analysis[[#This Row],[Payroll Taxes (Vacation)]]+Payroll_Data_Analysis[[#This Row],[Payroll Taxes (Salary)]]</f>
        <v>415337.65215017064</v>
      </c>
      <c r="W580" s="13">
        <f>Payroll_Data_Analysis[[#This Row],[Total Payroll]]+Payroll_Data_Analysis[[#This Row],[Total Payroll Taxes]]</f>
        <v>1790627.8910580205</v>
      </c>
    </row>
    <row r="581" spans="1:23">
      <c r="A581" s="11" t="s">
        <v>674</v>
      </c>
      <c r="B581" s="5" t="s">
        <v>584</v>
      </c>
      <c r="C581" s="5" t="s">
        <v>709</v>
      </c>
      <c r="D581" s="28" t="str">
        <f>VLOOKUP(Payroll_Data_Analysis[[#This Row],[Position]],Position_Map!$A$2:$B$58,2,FALSE)</f>
        <v>Engineering</v>
      </c>
      <c r="E581" s="6">
        <v>1</v>
      </c>
      <c r="F581" s="7">
        <v>103400</v>
      </c>
      <c r="G581" s="7">
        <v>80000</v>
      </c>
      <c r="H581" s="7"/>
      <c r="I581" s="7">
        <f>dataset!$F581-dataset!$J581-dataset!$G581-dataset!$H581</f>
        <v>17000</v>
      </c>
      <c r="J581" s="7">
        <f>dataset!$G581*0.08</f>
        <v>6400</v>
      </c>
      <c r="K581" s="7">
        <f>dataset!$F581*12</f>
        <v>1240800</v>
      </c>
      <c r="L581" s="12">
        <f>IF(dataset!$G581&gt;=200000,38%,IF(dataset!$G581&lt;=145000,12.3%,))</f>
        <v>0.12300000000000001</v>
      </c>
      <c r="M581" s="7">
        <f>dataset!$G581*L582*12</f>
        <v>118080.00000000003</v>
      </c>
      <c r="N581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1" s="7">
        <f>dataset!$K581+dataset!$M581</f>
        <v>1358880</v>
      </c>
      <c r="P581" s="7">
        <f>Payroll_Data_Analysis[[#This Row],[Annual Salary + KPI Bonus]]/12/29.3*31</f>
        <v>119810.23890784982</v>
      </c>
      <c r="Q581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1" s="7">
        <f>Payroll_Data_Analysis[[#This Row],[Monthly Salary]]*11</f>
        <v>1137400</v>
      </c>
      <c r="S581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1" s="7">
        <f>IF(Payroll_Data_Analysis[[#This Row],[Base Salary (Monthly)]]&gt;=200000,69507,IF(Payroll_Data_Analysis[[#This Row],[Base Salary (Monthly)]]&gt;=145000,52684,35103))</f>
        <v>35103</v>
      </c>
      <c r="U581" s="7">
        <f>Payroll_Data_Analysis[[#This Row],[Annual KPI Bonus Reserve]]+Payroll_Data_Analysis[[#This Row],[Vacation Reserve]]+Payroll_Data_Analysis[[#This Row],[11-Month Salary]]</f>
        <v>1375290.2389078499</v>
      </c>
      <c r="V581" s="7">
        <f>Payroll_Data_Analysis[[#This Row],[Payroll Taxes (KPI Bonus)]]+Payroll_Data_Analysis[[#This Row],[Payroll Taxes (Vacation)]]+Payroll_Data_Analysis[[#This Row],[Payroll Taxes (Salary)]]</f>
        <v>415337.65215017064</v>
      </c>
      <c r="W581" s="13">
        <f>Payroll_Data_Analysis[[#This Row],[Total Payroll]]+Payroll_Data_Analysis[[#This Row],[Total Payroll Taxes]]</f>
        <v>1790627.8910580205</v>
      </c>
    </row>
    <row r="582" spans="1:23">
      <c r="A582" s="11" t="s">
        <v>674</v>
      </c>
      <c r="B582" s="5" t="s">
        <v>585</v>
      </c>
      <c r="C582" s="5" t="s">
        <v>709</v>
      </c>
      <c r="D582" s="28" t="str">
        <f>VLOOKUP(Payroll_Data_Analysis[[#This Row],[Position]],Position_Map!$A$2:$B$58,2,FALSE)</f>
        <v>Engineering</v>
      </c>
      <c r="E582" s="6">
        <v>1</v>
      </c>
      <c r="F582" s="7">
        <v>103400</v>
      </c>
      <c r="G582" s="7">
        <v>80000</v>
      </c>
      <c r="H582" s="7"/>
      <c r="I582" s="7">
        <f>dataset!$F582-dataset!$J582-dataset!$G582-dataset!$H582</f>
        <v>17000</v>
      </c>
      <c r="J582" s="7">
        <f>dataset!$G582*0.08</f>
        <v>6400</v>
      </c>
      <c r="K582" s="7">
        <f>dataset!$F582*12</f>
        <v>1240800</v>
      </c>
      <c r="L582" s="12">
        <f>IF(dataset!$G582&gt;=200000,38%,IF(dataset!$G582&lt;=145000,12.3%,))</f>
        <v>0.12300000000000001</v>
      </c>
      <c r="M582" s="7">
        <f>dataset!$G582*L583*12</f>
        <v>118080.00000000003</v>
      </c>
      <c r="N58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2" s="7">
        <f>dataset!$K582+dataset!$M582</f>
        <v>1358880</v>
      </c>
      <c r="P582" s="7">
        <f>Payroll_Data_Analysis[[#This Row],[Annual Salary + KPI Bonus]]/12/29.3*31</f>
        <v>119810.23890784982</v>
      </c>
      <c r="Q582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2" s="7">
        <f>Payroll_Data_Analysis[[#This Row],[Monthly Salary]]*11</f>
        <v>1137400</v>
      </c>
      <c r="S582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2" s="7">
        <f>IF(Payroll_Data_Analysis[[#This Row],[Base Salary (Monthly)]]&gt;=200000,69507,IF(Payroll_Data_Analysis[[#This Row],[Base Salary (Monthly)]]&gt;=145000,52684,35103))</f>
        <v>35103</v>
      </c>
      <c r="U582" s="7">
        <f>Payroll_Data_Analysis[[#This Row],[Annual KPI Bonus Reserve]]+Payroll_Data_Analysis[[#This Row],[Vacation Reserve]]+Payroll_Data_Analysis[[#This Row],[11-Month Salary]]</f>
        <v>1375290.2389078499</v>
      </c>
      <c r="V582" s="7">
        <f>Payroll_Data_Analysis[[#This Row],[Payroll Taxes (KPI Bonus)]]+Payroll_Data_Analysis[[#This Row],[Payroll Taxes (Vacation)]]+Payroll_Data_Analysis[[#This Row],[Payroll Taxes (Salary)]]</f>
        <v>415337.65215017064</v>
      </c>
      <c r="W582" s="13">
        <f>Payroll_Data_Analysis[[#This Row],[Total Payroll]]+Payroll_Data_Analysis[[#This Row],[Total Payroll Taxes]]</f>
        <v>1790627.8910580205</v>
      </c>
    </row>
    <row r="583" spans="1:23">
      <c r="A583" s="11" t="s">
        <v>674</v>
      </c>
      <c r="B583" s="5" t="s">
        <v>586</v>
      </c>
      <c r="C583" s="5" t="s">
        <v>709</v>
      </c>
      <c r="D583" s="28" t="str">
        <f>VLOOKUP(Payroll_Data_Analysis[[#This Row],[Position]],Position_Map!$A$2:$B$58,2,FALSE)</f>
        <v>Engineering</v>
      </c>
      <c r="E583" s="6">
        <v>1</v>
      </c>
      <c r="F583" s="7">
        <v>103400</v>
      </c>
      <c r="G583" s="7">
        <v>80000</v>
      </c>
      <c r="H583" s="7"/>
      <c r="I583" s="7">
        <f>dataset!$F583-dataset!$J583-dataset!$G583-dataset!$H583</f>
        <v>17000</v>
      </c>
      <c r="J583" s="7">
        <f>dataset!$G583*0.08</f>
        <v>6400</v>
      </c>
      <c r="K583" s="7">
        <f>dataset!$F583*12</f>
        <v>1240800</v>
      </c>
      <c r="L583" s="12">
        <f>IF(dataset!$G583&gt;=200000,38%,IF(dataset!$G583&lt;=145000,12.3%,))</f>
        <v>0.12300000000000001</v>
      </c>
      <c r="M583" s="7">
        <f>dataset!$G583*L584*12</f>
        <v>118080.00000000003</v>
      </c>
      <c r="N58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3" s="7">
        <f>dataset!$K583+dataset!$M583</f>
        <v>1358880</v>
      </c>
      <c r="P583" s="7">
        <f>Payroll_Data_Analysis[[#This Row],[Annual Salary + KPI Bonus]]/12/29.3*31</f>
        <v>119810.23890784982</v>
      </c>
      <c r="Q583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3" s="7">
        <f>Payroll_Data_Analysis[[#This Row],[Monthly Salary]]*11</f>
        <v>1137400</v>
      </c>
      <c r="S583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3" s="7">
        <f>IF(Payroll_Data_Analysis[[#This Row],[Base Salary (Monthly)]]&gt;=200000,69507,IF(Payroll_Data_Analysis[[#This Row],[Base Salary (Monthly)]]&gt;=145000,52684,35103))</f>
        <v>35103</v>
      </c>
      <c r="U583" s="7">
        <f>Payroll_Data_Analysis[[#This Row],[Annual KPI Bonus Reserve]]+Payroll_Data_Analysis[[#This Row],[Vacation Reserve]]+Payroll_Data_Analysis[[#This Row],[11-Month Salary]]</f>
        <v>1375290.2389078499</v>
      </c>
      <c r="V583" s="7">
        <f>Payroll_Data_Analysis[[#This Row],[Payroll Taxes (KPI Bonus)]]+Payroll_Data_Analysis[[#This Row],[Payroll Taxes (Vacation)]]+Payroll_Data_Analysis[[#This Row],[Payroll Taxes (Salary)]]</f>
        <v>415337.65215017064</v>
      </c>
      <c r="W583" s="13">
        <f>Payroll_Data_Analysis[[#This Row],[Total Payroll]]+Payroll_Data_Analysis[[#This Row],[Total Payroll Taxes]]</f>
        <v>1790627.8910580205</v>
      </c>
    </row>
    <row r="584" spans="1:23">
      <c r="A584" s="11" t="s">
        <v>674</v>
      </c>
      <c r="B584" s="5" t="s">
        <v>587</v>
      </c>
      <c r="C584" s="5" t="s">
        <v>709</v>
      </c>
      <c r="D584" s="28" t="str">
        <f>VLOOKUP(Payroll_Data_Analysis[[#This Row],[Position]],Position_Map!$A$2:$B$58,2,FALSE)</f>
        <v>Engineering</v>
      </c>
      <c r="E584" s="6">
        <v>1</v>
      </c>
      <c r="F584" s="7">
        <v>103400</v>
      </c>
      <c r="G584" s="7">
        <v>80000</v>
      </c>
      <c r="H584" s="7"/>
      <c r="I584" s="7">
        <f>dataset!$F584-dataset!$J584-dataset!$G584-dataset!$H584</f>
        <v>17000</v>
      </c>
      <c r="J584" s="7">
        <f>dataset!$G584*0.08</f>
        <v>6400</v>
      </c>
      <c r="K584" s="7">
        <f>dataset!$F584*12</f>
        <v>1240800</v>
      </c>
      <c r="L584" s="12">
        <f>IF(dataset!$G584&gt;=200000,38%,IF(dataset!$G584&lt;=145000,12.3%,))</f>
        <v>0.12300000000000001</v>
      </c>
      <c r="M584" s="7">
        <f>dataset!$G584*L585*12</f>
        <v>118080.00000000003</v>
      </c>
      <c r="N58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4" s="7">
        <f>dataset!$K584+dataset!$M584</f>
        <v>1358880</v>
      </c>
      <c r="P584" s="7">
        <f>Payroll_Data_Analysis[[#This Row],[Annual Salary + KPI Bonus]]/12/29.3*31</f>
        <v>119810.23890784982</v>
      </c>
      <c r="Q584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4" s="7">
        <f>Payroll_Data_Analysis[[#This Row],[Monthly Salary]]*11</f>
        <v>1137400</v>
      </c>
      <c r="S584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4" s="7">
        <f>IF(Payroll_Data_Analysis[[#This Row],[Base Salary (Monthly)]]&gt;=200000,69507,IF(Payroll_Data_Analysis[[#This Row],[Base Salary (Monthly)]]&gt;=145000,52684,35103))</f>
        <v>35103</v>
      </c>
      <c r="U584" s="7">
        <f>Payroll_Data_Analysis[[#This Row],[Annual KPI Bonus Reserve]]+Payroll_Data_Analysis[[#This Row],[Vacation Reserve]]+Payroll_Data_Analysis[[#This Row],[11-Month Salary]]</f>
        <v>1375290.2389078499</v>
      </c>
      <c r="V584" s="7">
        <f>Payroll_Data_Analysis[[#This Row],[Payroll Taxes (KPI Bonus)]]+Payroll_Data_Analysis[[#This Row],[Payroll Taxes (Vacation)]]+Payroll_Data_Analysis[[#This Row],[Payroll Taxes (Salary)]]</f>
        <v>415337.65215017064</v>
      </c>
      <c r="W584" s="13">
        <f>Payroll_Data_Analysis[[#This Row],[Total Payroll]]+Payroll_Data_Analysis[[#This Row],[Total Payroll Taxes]]</f>
        <v>1790627.8910580205</v>
      </c>
    </row>
    <row r="585" spans="1:23">
      <c r="A585" s="11" t="s">
        <v>674</v>
      </c>
      <c r="B585" s="5" t="s">
        <v>588</v>
      </c>
      <c r="C585" s="5" t="s">
        <v>709</v>
      </c>
      <c r="D585" s="28" t="str">
        <f>VLOOKUP(Payroll_Data_Analysis[[#This Row],[Position]],Position_Map!$A$2:$B$58,2,FALSE)</f>
        <v>Engineering</v>
      </c>
      <c r="E585" s="6">
        <v>1</v>
      </c>
      <c r="F585" s="7">
        <v>103400</v>
      </c>
      <c r="G585" s="7">
        <v>80000</v>
      </c>
      <c r="H585" s="7"/>
      <c r="I585" s="7">
        <f>dataset!$F585-dataset!$J585-dataset!$G585-dataset!$H585</f>
        <v>17000</v>
      </c>
      <c r="J585" s="7">
        <f>dataset!$G585*0.08</f>
        <v>6400</v>
      </c>
      <c r="K585" s="7">
        <f>dataset!$F585*12</f>
        <v>1240800</v>
      </c>
      <c r="L585" s="12">
        <f>IF(dataset!$G585&gt;=200000,38%,IF(dataset!$G585&lt;=145000,12.3%,))</f>
        <v>0.12300000000000001</v>
      </c>
      <c r="M585" s="7">
        <f>dataset!$G585*L586*12</f>
        <v>118080.00000000003</v>
      </c>
      <c r="N585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585" s="7">
        <f>dataset!$K585+dataset!$M585</f>
        <v>1358880</v>
      </c>
      <c r="P585" s="7">
        <f>Payroll_Data_Analysis[[#This Row],[Annual Salary + KPI Bonus]]/12/29.3*31</f>
        <v>119810.23890784982</v>
      </c>
      <c r="Q585" s="7">
        <f>IF(Payroll_Data_Analysis[[#This Row],[Vacation Reserve]]&lt;=2979000,Payroll_Data_Analysis[[#This Row],[Vacation Reserve]]*0.302,2979000*0.302+(Payroll_Data_Analysis[[#This Row],[Vacation Reserve]]-2979000)*0.151)</f>
        <v>36182.692150170646</v>
      </c>
      <c r="R585" s="7">
        <f>Payroll_Data_Analysis[[#This Row],[Monthly Salary]]*11</f>
        <v>1137400</v>
      </c>
      <c r="S585" s="7">
        <f>IF(Payroll_Data_Analysis[[#This Row],[11-Month Salary]]&lt;=2979000,Payroll_Data_Analysis[[#This Row],[11-Month Salary]]*0.302,2979000*0.302+(Payroll_Data_Analysis[[#This Row],[11-Month Salary]]-2979000)*0.151)</f>
        <v>343494.8</v>
      </c>
      <c r="T585" s="7">
        <f>IF(Payroll_Data_Analysis[[#This Row],[Base Salary (Monthly)]]&gt;=200000,69507,IF(Payroll_Data_Analysis[[#This Row],[Base Salary (Monthly)]]&gt;=145000,52684,35103))</f>
        <v>35103</v>
      </c>
      <c r="U585" s="7">
        <f>Payroll_Data_Analysis[[#This Row],[Annual KPI Bonus Reserve]]+Payroll_Data_Analysis[[#This Row],[Vacation Reserve]]+Payroll_Data_Analysis[[#This Row],[11-Month Salary]]</f>
        <v>1375290.2389078499</v>
      </c>
      <c r="V585" s="7">
        <f>Payroll_Data_Analysis[[#This Row],[Payroll Taxes (KPI Bonus)]]+Payroll_Data_Analysis[[#This Row],[Payroll Taxes (Vacation)]]+Payroll_Data_Analysis[[#This Row],[Payroll Taxes (Salary)]]</f>
        <v>415337.65215017064</v>
      </c>
      <c r="W585" s="13">
        <f>Payroll_Data_Analysis[[#This Row],[Total Payroll]]+Payroll_Data_Analysis[[#This Row],[Total Payroll Taxes]]</f>
        <v>1790627.8910580205</v>
      </c>
    </row>
    <row r="586" spans="1:23">
      <c r="A586" s="11" t="s">
        <v>674</v>
      </c>
      <c r="B586" s="5" t="s">
        <v>589</v>
      </c>
      <c r="C586" s="5" t="s">
        <v>712</v>
      </c>
      <c r="D586" s="28" t="str">
        <f>VLOOKUP(Payroll_Data_Analysis[[#This Row],[Position]],Position_Map!$A$2:$B$58,2,FALSE)</f>
        <v>Technical</v>
      </c>
      <c r="E586" s="6">
        <v>1</v>
      </c>
      <c r="F586" s="7">
        <v>56000</v>
      </c>
      <c r="G586" s="7">
        <v>50000</v>
      </c>
      <c r="H586" s="7"/>
      <c r="I586" s="7">
        <f>dataset!$F586-dataset!$J586-dataset!$G586-dataset!$H586</f>
        <v>2000</v>
      </c>
      <c r="J586" s="7">
        <f>dataset!$G586*0.08</f>
        <v>4000</v>
      </c>
      <c r="K586" s="7">
        <f>dataset!$F586*12</f>
        <v>672000</v>
      </c>
      <c r="L586" s="12">
        <f>IF(dataset!$G586&gt;=200000,38%,IF(dataset!$G586&lt;=145000,12.3%,))</f>
        <v>0.12300000000000001</v>
      </c>
      <c r="M586" s="7">
        <f>dataset!$G586*L587*12</f>
        <v>73800.000000000015</v>
      </c>
      <c r="N586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586" s="7">
        <f>dataset!$K586+dataset!$M586</f>
        <v>745800</v>
      </c>
      <c r="P586" s="7">
        <f>Payroll_Data_Analysis[[#This Row],[Annual Salary + KPI Bonus]]/12/29.3*31</f>
        <v>65755.972696245735</v>
      </c>
      <c r="Q586" s="7">
        <f>IF(Payroll_Data_Analysis[[#This Row],[Vacation Reserve]]&lt;=2979000,Payroll_Data_Analysis[[#This Row],[Vacation Reserve]]*0.302,2979000*0.302+(Payroll_Data_Analysis[[#This Row],[Vacation Reserve]]-2979000)*0.151)</f>
        <v>19858.303754266213</v>
      </c>
      <c r="R586" s="7">
        <f>Payroll_Data_Analysis[[#This Row],[Monthly Salary]]*11</f>
        <v>616000</v>
      </c>
      <c r="S586" s="7">
        <f>IF(Payroll_Data_Analysis[[#This Row],[11-Month Salary]]&lt;=2979000,Payroll_Data_Analysis[[#This Row],[11-Month Salary]]*0.302,2979000*0.302+(Payroll_Data_Analysis[[#This Row],[11-Month Salary]]-2979000)*0.151)</f>
        <v>186032</v>
      </c>
      <c r="T586" s="7">
        <f>IF(Payroll_Data_Analysis[[#This Row],[Base Salary (Monthly)]]&gt;=200000,69507,IF(Payroll_Data_Analysis[[#This Row],[Base Salary (Monthly)]]&gt;=145000,52684,35103))</f>
        <v>35103</v>
      </c>
      <c r="U586" s="7">
        <f>Payroll_Data_Analysis[[#This Row],[Annual KPI Bonus Reserve]]+Payroll_Data_Analysis[[#This Row],[Vacation Reserve]]+Payroll_Data_Analysis[[#This Row],[11-Month Salary]]</f>
        <v>755555.97269624576</v>
      </c>
      <c r="V586" s="7">
        <f>Payroll_Data_Analysis[[#This Row],[Payroll Taxes (KPI Bonus)]]+Payroll_Data_Analysis[[#This Row],[Payroll Taxes (Vacation)]]+Payroll_Data_Analysis[[#This Row],[Payroll Taxes (Salary)]]</f>
        <v>228177.90375426621</v>
      </c>
      <c r="W586" s="13">
        <f>Payroll_Data_Analysis[[#This Row],[Total Payroll]]+Payroll_Data_Analysis[[#This Row],[Total Payroll Taxes]]</f>
        <v>983733.87645051198</v>
      </c>
    </row>
    <row r="587" spans="1:23">
      <c r="A587" s="11" t="s">
        <v>674</v>
      </c>
      <c r="B587" s="5" t="s">
        <v>590</v>
      </c>
      <c r="C587" s="5" t="s">
        <v>738</v>
      </c>
      <c r="D587" s="28" t="str">
        <f>VLOOKUP(Payroll_Data_Analysis[[#This Row],[Position]],Position_Map!$A$2:$B$58,2,FALSE)</f>
        <v>Facilities</v>
      </c>
      <c r="E587" s="6">
        <v>1</v>
      </c>
      <c r="F587" s="7">
        <v>48800</v>
      </c>
      <c r="G587" s="7">
        <v>35000</v>
      </c>
      <c r="H587" s="7"/>
      <c r="I587" s="7">
        <f>dataset!$F587-dataset!$J587-dataset!$G587-dataset!$H587</f>
        <v>11000</v>
      </c>
      <c r="J587" s="7">
        <f>dataset!$G587*0.08</f>
        <v>2800</v>
      </c>
      <c r="K587" s="7">
        <f>dataset!$F587*12</f>
        <v>585600</v>
      </c>
      <c r="L587" s="12">
        <f>IF(dataset!$G587&gt;=200000,38%,IF(dataset!$G587&lt;=145000,12.3%,))</f>
        <v>0.12300000000000001</v>
      </c>
      <c r="M587" s="7">
        <f>dataset!$G587*L588*12</f>
        <v>51660</v>
      </c>
      <c r="N587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87" s="7">
        <f>dataset!$K587+dataset!$M587</f>
        <v>637260</v>
      </c>
      <c r="P587" s="7">
        <f>Payroll_Data_Analysis[[#This Row],[Annual Salary + KPI Bonus]]/12/29.3*31</f>
        <v>56186.177474402735</v>
      </c>
      <c r="Q587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87" s="7">
        <f>Payroll_Data_Analysis[[#This Row],[Monthly Salary]]*11</f>
        <v>536800</v>
      </c>
      <c r="S587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87" s="7">
        <f>IF(Payroll_Data_Analysis[[#This Row],[Base Salary (Monthly)]]&gt;=200000,69507,IF(Payroll_Data_Analysis[[#This Row],[Base Salary (Monthly)]]&gt;=145000,52684,35103))</f>
        <v>35103</v>
      </c>
      <c r="U587" s="7">
        <f>Payroll_Data_Analysis[[#This Row],[Annual KPI Bonus Reserve]]+Payroll_Data_Analysis[[#This Row],[Vacation Reserve]]+Payroll_Data_Analysis[[#This Row],[11-Month Salary]]</f>
        <v>644646.17747440271</v>
      </c>
      <c r="V587" s="7">
        <f>Payroll_Data_Analysis[[#This Row],[Payroll Taxes (KPI Bonus)]]+Payroll_Data_Analysis[[#This Row],[Payroll Taxes (Vacation)]]+Payroll_Data_Analysis[[#This Row],[Payroll Taxes (Salary)]]</f>
        <v>194683.14559726964</v>
      </c>
      <c r="W587" s="13">
        <f>Payroll_Data_Analysis[[#This Row],[Total Payroll]]+Payroll_Data_Analysis[[#This Row],[Total Payroll Taxes]]</f>
        <v>839329.32307167235</v>
      </c>
    </row>
    <row r="588" spans="1:23">
      <c r="A588" s="11" t="s">
        <v>674</v>
      </c>
      <c r="B588" s="5" t="s">
        <v>591</v>
      </c>
      <c r="C588" s="5" t="s">
        <v>733</v>
      </c>
      <c r="D588" s="28" t="str">
        <f>VLOOKUP(Payroll_Data_Analysis[[#This Row],[Position]],Position_Map!$A$2:$B$58,2,FALSE)</f>
        <v>Facilities</v>
      </c>
      <c r="E588" s="6">
        <v>1</v>
      </c>
      <c r="F588" s="7">
        <v>48800</v>
      </c>
      <c r="G588" s="7">
        <v>35000</v>
      </c>
      <c r="H588" s="7"/>
      <c r="I588" s="7">
        <f>dataset!$F588-dataset!$J588-dataset!$G588-dataset!$H588</f>
        <v>11000</v>
      </c>
      <c r="J588" s="7">
        <f>dataset!$G588*0.08</f>
        <v>2800</v>
      </c>
      <c r="K588" s="7">
        <f>dataset!$F588*12</f>
        <v>585600</v>
      </c>
      <c r="L588" s="12">
        <f>IF(dataset!$G588&gt;=200000,38%,IF(dataset!$G588&lt;=145000,12.3%,))</f>
        <v>0.12300000000000001</v>
      </c>
      <c r="M588" s="7">
        <f>dataset!$G588*L589*12</f>
        <v>51660</v>
      </c>
      <c r="N588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88" s="7">
        <f>dataset!$K588+dataset!$M588</f>
        <v>637260</v>
      </c>
      <c r="P588" s="7">
        <f>Payroll_Data_Analysis[[#This Row],[Annual Salary + KPI Bonus]]/12/29.3*31</f>
        <v>56186.177474402735</v>
      </c>
      <c r="Q588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88" s="7">
        <f>Payroll_Data_Analysis[[#This Row],[Monthly Salary]]*11</f>
        <v>536800</v>
      </c>
      <c r="S588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88" s="7">
        <f>IF(Payroll_Data_Analysis[[#This Row],[Base Salary (Monthly)]]&gt;=200000,69507,IF(Payroll_Data_Analysis[[#This Row],[Base Salary (Monthly)]]&gt;=145000,52684,35103))</f>
        <v>35103</v>
      </c>
      <c r="U588" s="7">
        <f>Payroll_Data_Analysis[[#This Row],[Annual KPI Bonus Reserve]]+Payroll_Data_Analysis[[#This Row],[Vacation Reserve]]+Payroll_Data_Analysis[[#This Row],[11-Month Salary]]</f>
        <v>644646.17747440271</v>
      </c>
      <c r="V588" s="7">
        <f>Payroll_Data_Analysis[[#This Row],[Payroll Taxes (KPI Bonus)]]+Payroll_Data_Analysis[[#This Row],[Payroll Taxes (Vacation)]]+Payroll_Data_Analysis[[#This Row],[Payroll Taxes (Salary)]]</f>
        <v>194683.14559726964</v>
      </c>
      <c r="W588" s="13">
        <f>Payroll_Data_Analysis[[#This Row],[Total Payroll]]+Payroll_Data_Analysis[[#This Row],[Total Payroll Taxes]]</f>
        <v>839329.32307167235</v>
      </c>
    </row>
    <row r="589" spans="1:23">
      <c r="A589" s="11" t="s">
        <v>674</v>
      </c>
      <c r="B589" s="5" t="s">
        <v>592</v>
      </c>
      <c r="C589" s="5" t="s">
        <v>733</v>
      </c>
      <c r="D589" s="28" t="str">
        <f>VLOOKUP(Payroll_Data_Analysis[[#This Row],[Position]],Position_Map!$A$2:$B$58,2,FALSE)</f>
        <v>Facilities</v>
      </c>
      <c r="E589" s="6">
        <v>1</v>
      </c>
      <c r="F589" s="7">
        <v>48800</v>
      </c>
      <c r="G589" s="7">
        <v>35000</v>
      </c>
      <c r="H589" s="7"/>
      <c r="I589" s="7">
        <f>dataset!$F589-dataset!$J589-dataset!$G589-dataset!$H589</f>
        <v>11000</v>
      </c>
      <c r="J589" s="7">
        <f>dataset!$G589*0.08</f>
        <v>2800</v>
      </c>
      <c r="K589" s="7">
        <f>dataset!$F589*12</f>
        <v>585600</v>
      </c>
      <c r="L589" s="12">
        <f>IF(dataset!$G589&gt;=200000,38%,IF(dataset!$G589&lt;=145000,12.3%,))</f>
        <v>0.12300000000000001</v>
      </c>
      <c r="M589" s="7">
        <f>dataset!$G589*L590*12</f>
        <v>51660</v>
      </c>
      <c r="N589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89" s="7">
        <f>dataset!$K589+dataset!$M589</f>
        <v>637260</v>
      </c>
      <c r="P589" s="7">
        <f>Payroll_Data_Analysis[[#This Row],[Annual Salary + KPI Bonus]]/12/29.3*31</f>
        <v>56186.177474402735</v>
      </c>
      <c r="Q589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89" s="7">
        <f>Payroll_Data_Analysis[[#This Row],[Monthly Salary]]*11</f>
        <v>536800</v>
      </c>
      <c r="S589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89" s="7">
        <f>IF(Payroll_Data_Analysis[[#This Row],[Base Salary (Monthly)]]&gt;=200000,69507,IF(Payroll_Data_Analysis[[#This Row],[Base Salary (Monthly)]]&gt;=145000,52684,35103))</f>
        <v>35103</v>
      </c>
      <c r="U589" s="7">
        <f>Payroll_Data_Analysis[[#This Row],[Annual KPI Bonus Reserve]]+Payroll_Data_Analysis[[#This Row],[Vacation Reserve]]+Payroll_Data_Analysis[[#This Row],[11-Month Salary]]</f>
        <v>644646.17747440271</v>
      </c>
      <c r="V589" s="7">
        <f>Payroll_Data_Analysis[[#This Row],[Payroll Taxes (KPI Bonus)]]+Payroll_Data_Analysis[[#This Row],[Payroll Taxes (Vacation)]]+Payroll_Data_Analysis[[#This Row],[Payroll Taxes (Salary)]]</f>
        <v>194683.14559726964</v>
      </c>
      <c r="W589" s="13">
        <f>Payroll_Data_Analysis[[#This Row],[Total Payroll]]+Payroll_Data_Analysis[[#This Row],[Total Payroll Taxes]]</f>
        <v>839329.32307167235</v>
      </c>
    </row>
    <row r="590" spans="1:23">
      <c r="A590" s="11" t="s">
        <v>674</v>
      </c>
      <c r="B590" s="5" t="s">
        <v>593</v>
      </c>
      <c r="C590" s="5" t="s">
        <v>733</v>
      </c>
      <c r="D590" s="28" t="str">
        <f>VLOOKUP(Payroll_Data_Analysis[[#This Row],[Position]],Position_Map!$A$2:$B$58,2,FALSE)</f>
        <v>Facilities</v>
      </c>
      <c r="E590" s="6">
        <v>1</v>
      </c>
      <c r="F590" s="7">
        <v>48800</v>
      </c>
      <c r="G590" s="7">
        <v>35000</v>
      </c>
      <c r="H590" s="7"/>
      <c r="I590" s="7">
        <f>dataset!$F590-dataset!$J590-dataset!$G590-dataset!$H590</f>
        <v>11000</v>
      </c>
      <c r="J590" s="7">
        <f>dataset!$G590*0.08</f>
        <v>2800</v>
      </c>
      <c r="K590" s="7">
        <f>dataset!$F590*12</f>
        <v>585600</v>
      </c>
      <c r="L590" s="12">
        <f>IF(dataset!$G590&gt;=200000,38%,IF(dataset!$G590&lt;=145000,12.3%,))</f>
        <v>0.12300000000000001</v>
      </c>
      <c r="M590" s="7">
        <f>dataset!$G590*L591*12</f>
        <v>51660</v>
      </c>
      <c r="N590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90" s="7">
        <f>dataset!$K590+dataset!$M590</f>
        <v>637260</v>
      </c>
      <c r="P590" s="7">
        <f>Payroll_Data_Analysis[[#This Row],[Annual Salary + KPI Bonus]]/12/29.3*31</f>
        <v>56186.177474402735</v>
      </c>
      <c r="Q590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90" s="7">
        <f>Payroll_Data_Analysis[[#This Row],[Monthly Salary]]*11</f>
        <v>536800</v>
      </c>
      <c r="S590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90" s="7">
        <f>IF(Payroll_Data_Analysis[[#This Row],[Base Salary (Monthly)]]&gt;=200000,69507,IF(Payroll_Data_Analysis[[#This Row],[Base Salary (Monthly)]]&gt;=145000,52684,35103))</f>
        <v>35103</v>
      </c>
      <c r="U590" s="7">
        <f>Payroll_Data_Analysis[[#This Row],[Annual KPI Bonus Reserve]]+Payroll_Data_Analysis[[#This Row],[Vacation Reserve]]+Payroll_Data_Analysis[[#This Row],[11-Month Salary]]</f>
        <v>644646.17747440271</v>
      </c>
      <c r="V590" s="7">
        <f>Payroll_Data_Analysis[[#This Row],[Payroll Taxes (KPI Bonus)]]+Payroll_Data_Analysis[[#This Row],[Payroll Taxes (Vacation)]]+Payroll_Data_Analysis[[#This Row],[Payroll Taxes (Salary)]]</f>
        <v>194683.14559726964</v>
      </c>
      <c r="W590" s="13">
        <f>Payroll_Data_Analysis[[#This Row],[Total Payroll]]+Payroll_Data_Analysis[[#This Row],[Total Payroll Taxes]]</f>
        <v>839329.32307167235</v>
      </c>
    </row>
    <row r="591" spans="1:23">
      <c r="A591" s="11" t="s">
        <v>674</v>
      </c>
      <c r="B591" s="5" t="s">
        <v>594</v>
      </c>
      <c r="C591" s="5" t="s">
        <v>733</v>
      </c>
      <c r="D591" s="28" t="str">
        <f>VLOOKUP(Payroll_Data_Analysis[[#This Row],[Position]],Position_Map!$A$2:$B$58,2,FALSE)</f>
        <v>Facilities</v>
      </c>
      <c r="E591" s="6">
        <v>1</v>
      </c>
      <c r="F591" s="7">
        <v>48800</v>
      </c>
      <c r="G591" s="7">
        <v>35000</v>
      </c>
      <c r="H591" s="7"/>
      <c r="I591" s="7">
        <f>dataset!$F591-dataset!$J591-dataset!$G591-dataset!$H591</f>
        <v>11000</v>
      </c>
      <c r="J591" s="7">
        <f>dataset!$G591*0.08</f>
        <v>2800</v>
      </c>
      <c r="K591" s="7">
        <f>dataset!$F591*12</f>
        <v>585600</v>
      </c>
      <c r="L591" s="12">
        <f>IF(dataset!$G591&gt;=200000,38%,IF(dataset!$G591&lt;=145000,12.3%,))</f>
        <v>0.12300000000000001</v>
      </c>
      <c r="M591" s="7">
        <f>dataset!$G591*L592*12</f>
        <v>51660</v>
      </c>
      <c r="N591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91" s="7">
        <f>dataset!$K591+dataset!$M591</f>
        <v>637260</v>
      </c>
      <c r="P591" s="7">
        <f>Payroll_Data_Analysis[[#This Row],[Annual Salary + KPI Bonus]]/12/29.3*31</f>
        <v>56186.177474402735</v>
      </c>
      <c r="Q591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91" s="7">
        <f>Payroll_Data_Analysis[[#This Row],[Monthly Salary]]*11</f>
        <v>536800</v>
      </c>
      <c r="S591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91" s="7">
        <f>IF(Payroll_Data_Analysis[[#This Row],[Base Salary (Monthly)]]&gt;=200000,69507,IF(Payroll_Data_Analysis[[#This Row],[Base Salary (Monthly)]]&gt;=145000,52684,35103))</f>
        <v>35103</v>
      </c>
      <c r="U591" s="7">
        <f>Payroll_Data_Analysis[[#This Row],[Annual KPI Bonus Reserve]]+Payroll_Data_Analysis[[#This Row],[Vacation Reserve]]+Payroll_Data_Analysis[[#This Row],[11-Month Salary]]</f>
        <v>644646.17747440271</v>
      </c>
      <c r="V591" s="7">
        <f>Payroll_Data_Analysis[[#This Row],[Payroll Taxes (KPI Bonus)]]+Payroll_Data_Analysis[[#This Row],[Payroll Taxes (Vacation)]]+Payroll_Data_Analysis[[#This Row],[Payroll Taxes (Salary)]]</f>
        <v>194683.14559726964</v>
      </c>
      <c r="W591" s="13">
        <f>Payroll_Data_Analysis[[#This Row],[Total Payroll]]+Payroll_Data_Analysis[[#This Row],[Total Payroll Taxes]]</f>
        <v>839329.32307167235</v>
      </c>
    </row>
    <row r="592" spans="1:23">
      <c r="A592" s="11" t="s">
        <v>674</v>
      </c>
      <c r="B592" s="5" t="s">
        <v>595</v>
      </c>
      <c r="C592" s="5" t="s">
        <v>733</v>
      </c>
      <c r="D592" s="28" t="str">
        <f>VLOOKUP(Payroll_Data_Analysis[[#This Row],[Position]],Position_Map!$A$2:$B$58,2,FALSE)</f>
        <v>Facilities</v>
      </c>
      <c r="E592" s="6">
        <v>1</v>
      </c>
      <c r="F592" s="7">
        <v>48800</v>
      </c>
      <c r="G592" s="7">
        <v>35000</v>
      </c>
      <c r="H592" s="7"/>
      <c r="I592" s="7">
        <f>dataset!$F592-dataset!$J592-dataset!$G592-dataset!$H592</f>
        <v>11000</v>
      </c>
      <c r="J592" s="7">
        <f>dataset!$G592*0.08</f>
        <v>2800</v>
      </c>
      <c r="K592" s="7">
        <f>dataset!$F592*12</f>
        <v>585600</v>
      </c>
      <c r="L592" s="12">
        <f>IF(dataset!$G592&gt;=200000,38%,IF(dataset!$G592&lt;=145000,12.3%,))</f>
        <v>0.12300000000000001</v>
      </c>
      <c r="M592" s="7">
        <f>dataset!$G592*L593*12</f>
        <v>51660</v>
      </c>
      <c r="N592" s="7">
        <f>IF(Payroll_Data_Analysis[[#This Row],[Annual KPI Bonus Reserve]]&lt;=2979000,Payroll_Data_Analysis[[#This Row],[Annual KPI Bonus Reserve]]*0.302,2979000*0.302+(Payroll_Data_Analysis[[#This Row],[Annual KPI Bonus Reserve]]-2979000)*0.151)</f>
        <v>15601.32</v>
      </c>
      <c r="O592" s="7">
        <f>dataset!$K592+dataset!$M592</f>
        <v>637260</v>
      </c>
      <c r="P592" s="7">
        <f>Payroll_Data_Analysis[[#This Row],[Annual Salary + KPI Bonus]]/12/29.3*31</f>
        <v>56186.177474402735</v>
      </c>
      <c r="Q592" s="7">
        <f>IF(Payroll_Data_Analysis[[#This Row],[Vacation Reserve]]&lt;=2979000,Payroll_Data_Analysis[[#This Row],[Vacation Reserve]]*0.302,2979000*0.302+(Payroll_Data_Analysis[[#This Row],[Vacation Reserve]]-2979000)*0.151)</f>
        <v>16968.225597269626</v>
      </c>
      <c r="R592" s="7">
        <f>Payroll_Data_Analysis[[#This Row],[Monthly Salary]]*11</f>
        <v>536800</v>
      </c>
      <c r="S592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92" s="7">
        <f>IF(Payroll_Data_Analysis[[#This Row],[Base Salary (Monthly)]]&gt;=200000,69507,IF(Payroll_Data_Analysis[[#This Row],[Base Salary (Monthly)]]&gt;=145000,52684,35103))</f>
        <v>35103</v>
      </c>
      <c r="U592" s="7">
        <f>Payroll_Data_Analysis[[#This Row],[Annual KPI Bonus Reserve]]+Payroll_Data_Analysis[[#This Row],[Vacation Reserve]]+Payroll_Data_Analysis[[#This Row],[11-Month Salary]]</f>
        <v>644646.17747440271</v>
      </c>
      <c r="V592" s="7">
        <f>Payroll_Data_Analysis[[#This Row],[Payroll Taxes (KPI Bonus)]]+Payroll_Data_Analysis[[#This Row],[Payroll Taxes (Vacation)]]+Payroll_Data_Analysis[[#This Row],[Payroll Taxes (Salary)]]</f>
        <v>194683.14559726964</v>
      </c>
      <c r="W592" s="13">
        <f>Payroll_Data_Analysis[[#This Row],[Total Payroll]]+Payroll_Data_Analysis[[#This Row],[Total Payroll Taxes]]</f>
        <v>839329.32307167235</v>
      </c>
    </row>
    <row r="593" spans="1:23">
      <c r="A593" s="11" t="s">
        <v>674</v>
      </c>
      <c r="B593" s="5" t="s">
        <v>596</v>
      </c>
      <c r="C593" s="5" t="s">
        <v>733</v>
      </c>
      <c r="D593" s="28" t="str">
        <f>VLOOKUP(Payroll_Data_Analysis[[#This Row],[Position]],Position_Map!$A$2:$B$58,2,FALSE)</f>
        <v>Facilities</v>
      </c>
      <c r="E593" s="6">
        <v>1</v>
      </c>
      <c r="F593" s="7">
        <v>48800</v>
      </c>
      <c r="G593" s="7">
        <v>35000</v>
      </c>
      <c r="H593" s="7"/>
      <c r="I593" s="7">
        <f>dataset!$F593-dataset!$J593-dataset!$G593-dataset!$H593</f>
        <v>11000</v>
      </c>
      <c r="J593" s="7">
        <f>dataset!$G593*0.08</f>
        <v>2800</v>
      </c>
      <c r="K593" s="7">
        <f>dataset!$F593*12</f>
        <v>585600</v>
      </c>
      <c r="L593" s="12">
        <f>IF(dataset!$G593&gt;=200000,38%,IF(dataset!$G593&lt;=145000,12.3%,))</f>
        <v>0.12300000000000001</v>
      </c>
      <c r="M593" s="7">
        <f>dataset!$G593*L594*12</f>
        <v>159600</v>
      </c>
      <c r="N593" s="7">
        <f>IF(Payroll_Data_Analysis[[#This Row],[Annual KPI Bonus Reserve]]&lt;=2979000,Payroll_Data_Analysis[[#This Row],[Annual KPI Bonus Reserve]]*0.302,2979000*0.302+(Payroll_Data_Analysis[[#This Row],[Annual KPI Bonus Reserve]]-2979000)*0.151)</f>
        <v>48199.199999999997</v>
      </c>
      <c r="O593" s="7">
        <f>dataset!$K593+dataset!$M593</f>
        <v>745200</v>
      </c>
      <c r="P593" s="7">
        <f>Payroll_Data_Analysis[[#This Row],[Annual Salary + KPI Bonus]]/12/29.3*31</f>
        <v>65703.071672354941</v>
      </c>
      <c r="Q593" s="7">
        <f>IF(Payroll_Data_Analysis[[#This Row],[Vacation Reserve]]&lt;=2979000,Payroll_Data_Analysis[[#This Row],[Vacation Reserve]]*0.302,2979000*0.302+(Payroll_Data_Analysis[[#This Row],[Vacation Reserve]]-2979000)*0.151)</f>
        <v>19842.327645051191</v>
      </c>
      <c r="R593" s="7">
        <f>Payroll_Data_Analysis[[#This Row],[Monthly Salary]]*11</f>
        <v>536800</v>
      </c>
      <c r="S593" s="7">
        <f>IF(Payroll_Data_Analysis[[#This Row],[11-Month Salary]]&lt;=2979000,Payroll_Data_Analysis[[#This Row],[11-Month Salary]]*0.302,2979000*0.302+(Payroll_Data_Analysis[[#This Row],[11-Month Salary]]-2979000)*0.151)</f>
        <v>162113.60000000001</v>
      </c>
      <c r="T593" s="7">
        <f>IF(Payroll_Data_Analysis[[#This Row],[Base Salary (Monthly)]]&gt;=200000,69507,IF(Payroll_Data_Analysis[[#This Row],[Base Salary (Monthly)]]&gt;=145000,52684,35103))</f>
        <v>35103</v>
      </c>
      <c r="U593" s="7">
        <f>Payroll_Data_Analysis[[#This Row],[Annual KPI Bonus Reserve]]+Payroll_Data_Analysis[[#This Row],[Vacation Reserve]]+Payroll_Data_Analysis[[#This Row],[11-Month Salary]]</f>
        <v>762103.07167235494</v>
      </c>
      <c r="V593" s="7">
        <f>Payroll_Data_Analysis[[#This Row],[Payroll Taxes (KPI Bonus)]]+Payroll_Data_Analysis[[#This Row],[Payroll Taxes (Vacation)]]+Payroll_Data_Analysis[[#This Row],[Payroll Taxes (Salary)]]</f>
        <v>230155.12764505119</v>
      </c>
      <c r="W593" s="13">
        <f>Payroll_Data_Analysis[[#This Row],[Total Payroll]]+Payroll_Data_Analysis[[#This Row],[Total Payroll Taxes]]</f>
        <v>992258.19931740616</v>
      </c>
    </row>
    <row r="594" spans="1:23">
      <c r="A594" s="11" t="s">
        <v>675</v>
      </c>
      <c r="B594" s="5" t="s">
        <v>597</v>
      </c>
      <c r="C594" s="5" t="s">
        <v>713</v>
      </c>
      <c r="D594" s="28" t="str">
        <f>VLOOKUP(Payroll_Data_Analysis[[#This Row],[Position]],Position_Map!$A$2:$B$58,2,FALSE)</f>
        <v>Management</v>
      </c>
      <c r="E594" s="6">
        <v>1</v>
      </c>
      <c r="F594" s="7">
        <v>308000</v>
      </c>
      <c r="G594" s="7">
        <v>200000</v>
      </c>
      <c r="H594" s="7">
        <v>20000</v>
      </c>
      <c r="I594" s="7">
        <f>dataset!$F594-dataset!$J594-dataset!$G594-dataset!$H594</f>
        <v>72000</v>
      </c>
      <c r="J594" s="7">
        <f>dataset!$G594*0.08</f>
        <v>16000</v>
      </c>
      <c r="K594" s="7">
        <f>dataset!$F594*12</f>
        <v>3696000</v>
      </c>
      <c r="L594" s="12">
        <f>IF(dataset!$G594&gt;=200000,38%,IF(dataset!$G594&lt;=145000,12.3%,))</f>
        <v>0.38</v>
      </c>
      <c r="M594" s="7">
        <f>dataset!$G594*L595*12</f>
        <v>295200.00000000006</v>
      </c>
      <c r="N594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594" s="7">
        <f>dataset!$K594+dataset!$M594</f>
        <v>3991200</v>
      </c>
      <c r="P594" s="7">
        <f>Payroll_Data_Analysis[[#This Row],[Annual Salary + KPI Bonus]]/12/29.3*31</f>
        <v>351897.61092150171</v>
      </c>
      <c r="Q594" s="7">
        <f>IF(Payroll_Data_Analysis[[#This Row],[Vacation Reserve]]&lt;=2979000,Payroll_Data_Analysis[[#This Row],[Vacation Reserve]]*0.302,2979000*0.302+(Payroll_Data_Analysis[[#This Row],[Vacation Reserve]]-2979000)*0.151)</f>
        <v>106273.07849829351</v>
      </c>
      <c r="R594" s="7">
        <f>Payroll_Data_Analysis[[#This Row],[Monthly Salary]]*11</f>
        <v>3388000</v>
      </c>
      <c r="S594" s="7">
        <f>IF(Payroll_Data_Analysis[[#This Row],[11-Month Salary]]&lt;=2979000,Payroll_Data_Analysis[[#This Row],[11-Month Salary]]*0.302,2979000*0.302+(Payroll_Data_Analysis[[#This Row],[11-Month Salary]]-2979000)*0.151)</f>
        <v>961417</v>
      </c>
      <c r="T594" s="7">
        <f>IF(Payroll_Data_Analysis[[#This Row],[Base Salary (Monthly)]]&gt;=200000,69507,IF(Payroll_Data_Analysis[[#This Row],[Base Salary (Monthly)]]&gt;=145000,52684,35103))</f>
        <v>69507</v>
      </c>
      <c r="U594" s="7">
        <f>Payroll_Data_Analysis[[#This Row],[Annual KPI Bonus Reserve]]+Payroll_Data_Analysis[[#This Row],[Vacation Reserve]]+Payroll_Data_Analysis[[#This Row],[11-Month Salary]]</f>
        <v>4035097.6109215016</v>
      </c>
      <c r="V594" s="7">
        <f>Payroll_Data_Analysis[[#This Row],[Payroll Taxes (KPI Bonus)]]+Payroll_Data_Analysis[[#This Row],[Payroll Taxes (Vacation)]]+Payroll_Data_Analysis[[#This Row],[Payroll Taxes (Salary)]]</f>
        <v>1156840.4784982936</v>
      </c>
      <c r="W594" s="13">
        <f>Payroll_Data_Analysis[[#This Row],[Total Payroll]]+Payroll_Data_Analysis[[#This Row],[Total Payroll Taxes]]</f>
        <v>5191938.0894197952</v>
      </c>
    </row>
    <row r="595" spans="1:23">
      <c r="A595" s="11" t="s">
        <v>675</v>
      </c>
      <c r="B595" s="5" t="s">
        <v>598</v>
      </c>
      <c r="C595" s="5" t="s">
        <v>749</v>
      </c>
      <c r="D595" s="28" t="str">
        <f>VLOOKUP(Payroll_Data_Analysis[[#This Row],[Position]],Position_Map!$A$2:$B$58,2,FALSE)</f>
        <v>Management</v>
      </c>
      <c r="E595" s="6">
        <v>1</v>
      </c>
      <c r="F595" s="7">
        <v>261600</v>
      </c>
      <c r="G595" s="7">
        <v>145000</v>
      </c>
      <c r="H595" s="7"/>
      <c r="I595" s="7">
        <f>dataset!$F595-dataset!$J595-dataset!$G595-dataset!$H595</f>
        <v>105000</v>
      </c>
      <c r="J595" s="7">
        <f>dataset!$G595*0.08</f>
        <v>11600</v>
      </c>
      <c r="K595" s="7">
        <f>dataset!$F595*12</f>
        <v>3139200</v>
      </c>
      <c r="L595" s="12">
        <f>IF(dataset!$G595&gt;=200000,38%,IF(dataset!$G595&lt;=145000,12.3%,))</f>
        <v>0.12300000000000001</v>
      </c>
      <c r="M595" s="7">
        <f>dataset!$G595*L596*12</f>
        <v>214020</v>
      </c>
      <c r="N59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95" s="7">
        <f>dataset!$K595+dataset!$M595</f>
        <v>3353220</v>
      </c>
      <c r="P595" s="7">
        <f>Payroll_Data_Analysis[[#This Row],[Annual Salary + KPI Bonus]]/12/29.3*31</f>
        <v>295647.95221843006</v>
      </c>
      <c r="Q595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595" s="7">
        <f>Payroll_Data_Analysis[[#This Row],[Monthly Salary]]*11</f>
        <v>2877600</v>
      </c>
      <c r="S595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595" s="7">
        <f>IF(Payroll_Data_Analysis[[#This Row],[Base Salary (Monthly)]]&gt;=200000,69507,IF(Payroll_Data_Analysis[[#This Row],[Base Salary (Monthly)]]&gt;=145000,52684,35103))</f>
        <v>52684</v>
      </c>
      <c r="U595" s="7">
        <f>Payroll_Data_Analysis[[#This Row],[Annual KPI Bonus Reserve]]+Payroll_Data_Analysis[[#This Row],[Vacation Reserve]]+Payroll_Data_Analysis[[#This Row],[11-Month Salary]]</f>
        <v>3387267.9522184301</v>
      </c>
      <c r="V595" s="7">
        <f>Payroll_Data_Analysis[[#This Row],[Payroll Taxes (KPI Bonus)]]+Payroll_Data_Analysis[[#This Row],[Payroll Taxes (Vacation)]]+Payroll_Data_Analysis[[#This Row],[Payroll Taxes (Salary)]]</f>
        <v>1022954.9215699658</v>
      </c>
      <c r="W595" s="13">
        <f>Payroll_Data_Analysis[[#This Row],[Total Payroll]]+Payroll_Data_Analysis[[#This Row],[Total Payroll Taxes]]</f>
        <v>4410222.8737883959</v>
      </c>
    </row>
    <row r="596" spans="1:23">
      <c r="A596" s="11" t="s">
        <v>675</v>
      </c>
      <c r="B596" s="5" t="s">
        <v>599</v>
      </c>
      <c r="C596" s="5" t="s">
        <v>714</v>
      </c>
      <c r="D596" s="28" t="str">
        <f>VLOOKUP(Payroll_Data_Analysis[[#This Row],[Position]],Position_Map!$A$2:$B$58,2,FALSE)</f>
        <v>Management</v>
      </c>
      <c r="E596" s="6">
        <v>1</v>
      </c>
      <c r="F596" s="7">
        <v>221600</v>
      </c>
      <c r="G596" s="7">
        <v>145000</v>
      </c>
      <c r="H596" s="7"/>
      <c r="I596" s="7">
        <f>dataset!$F596-dataset!$J596-dataset!$G596-dataset!$H596</f>
        <v>65000</v>
      </c>
      <c r="J596" s="7">
        <f>dataset!$G596*0.08</f>
        <v>11600</v>
      </c>
      <c r="K596" s="7">
        <f>dataset!$F596*12</f>
        <v>2659200</v>
      </c>
      <c r="L596" s="12">
        <f>IF(dataset!$G596&gt;=200000,38%,IF(dataset!$G596&lt;=145000,12.3%,))</f>
        <v>0.12300000000000001</v>
      </c>
      <c r="M596" s="7">
        <f>dataset!$G596*L597*12</f>
        <v>214020</v>
      </c>
      <c r="N59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596" s="7">
        <f>dataset!$K596+dataset!$M596</f>
        <v>2873220</v>
      </c>
      <c r="P596" s="7">
        <f>Payroll_Data_Analysis[[#This Row],[Annual Salary + KPI Bonus]]/12/29.3*31</f>
        <v>253327.13310580203</v>
      </c>
      <c r="Q596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596" s="7">
        <f>Payroll_Data_Analysis[[#This Row],[Monthly Salary]]*11</f>
        <v>2437600</v>
      </c>
      <c r="S596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596" s="7">
        <f>IF(Payroll_Data_Analysis[[#This Row],[Base Salary (Monthly)]]&gt;=200000,69507,IF(Payroll_Data_Analysis[[#This Row],[Base Salary (Monthly)]]&gt;=145000,52684,35103))</f>
        <v>52684</v>
      </c>
      <c r="U596" s="7">
        <f>Payroll_Data_Analysis[[#This Row],[Annual KPI Bonus Reserve]]+Payroll_Data_Analysis[[#This Row],[Vacation Reserve]]+Payroll_Data_Analysis[[#This Row],[11-Month Salary]]</f>
        <v>2904947.1331058019</v>
      </c>
      <c r="V596" s="7">
        <f>Payroll_Data_Analysis[[#This Row],[Payroll Taxes (KPI Bonus)]]+Payroll_Data_Analysis[[#This Row],[Payroll Taxes (Vacation)]]+Payroll_Data_Analysis[[#This Row],[Payroll Taxes (Salary)]]</f>
        <v>877294.03419795213</v>
      </c>
      <c r="W596" s="13">
        <f>Payroll_Data_Analysis[[#This Row],[Total Payroll]]+Payroll_Data_Analysis[[#This Row],[Total Payroll Taxes]]</f>
        <v>3782241.167303754</v>
      </c>
    </row>
    <row r="597" spans="1:23">
      <c r="A597" s="11" t="s">
        <v>675</v>
      </c>
      <c r="B597" s="5" t="s">
        <v>600</v>
      </c>
      <c r="C597" s="5" t="s">
        <v>714</v>
      </c>
      <c r="D597" s="28" t="str">
        <f>VLOOKUP(Payroll_Data_Analysis[[#This Row],[Position]],Position_Map!$A$2:$B$58,2,FALSE)</f>
        <v>Management</v>
      </c>
      <c r="E597" s="6">
        <v>1</v>
      </c>
      <c r="F597" s="7">
        <v>148000</v>
      </c>
      <c r="G597" s="7">
        <v>100000</v>
      </c>
      <c r="H597" s="7"/>
      <c r="I597" s="7">
        <f>dataset!$F597-dataset!$J597-dataset!$G597-dataset!$H597</f>
        <v>40000</v>
      </c>
      <c r="J597" s="7">
        <f>dataset!$G597*0.08</f>
        <v>8000</v>
      </c>
      <c r="K597" s="7">
        <f>dataset!$F597*12</f>
        <v>1776000</v>
      </c>
      <c r="L597" s="12">
        <f>IF(dataset!$G597&gt;=200000,38%,IF(dataset!$G597&lt;=145000,12.3%,))</f>
        <v>0.12300000000000001</v>
      </c>
      <c r="M597" s="7">
        <f>dataset!$G597*L598*12</f>
        <v>147600.00000000003</v>
      </c>
      <c r="N597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97" s="7">
        <f>dataset!$K597+dataset!$M597</f>
        <v>1923600</v>
      </c>
      <c r="P597" s="7">
        <f>Payroll_Data_Analysis[[#This Row],[Annual Salary + KPI Bonus]]/12/29.3*31</f>
        <v>169600.68259385665</v>
      </c>
      <c r="Q597" s="7">
        <f>IF(Payroll_Data_Analysis[[#This Row],[Vacation Reserve]]&lt;=2979000,Payroll_Data_Analysis[[#This Row],[Vacation Reserve]]*0.302,2979000*0.302+(Payroll_Data_Analysis[[#This Row],[Vacation Reserve]]-2979000)*0.151)</f>
        <v>51219.406143344706</v>
      </c>
      <c r="R597" s="7">
        <f>Payroll_Data_Analysis[[#This Row],[Monthly Salary]]*11</f>
        <v>1628000</v>
      </c>
      <c r="S597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597" s="7">
        <f>IF(Payroll_Data_Analysis[[#This Row],[Base Salary (Monthly)]]&gt;=200000,69507,IF(Payroll_Data_Analysis[[#This Row],[Base Salary (Monthly)]]&gt;=145000,52684,35103))</f>
        <v>35103</v>
      </c>
      <c r="U597" s="7">
        <f>Payroll_Data_Analysis[[#This Row],[Annual KPI Bonus Reserve]]+Payroll_Data_Analysis[[#This Row],[Vacation Reserve]]+Payroll_Data_Analysis[[#This Row],[11-Month Salary]]</f>
        <v>1945200.6825938567</v>
      </c>
      <c r="V597" s="7">
        <f>Payroll_Data_Analysis[[#This Row],[Payroll Taxes (KPI Bonus)]]+Payroll_Data_Analysis[[#This Row],[Payroll Taxes (Vacation)]]+Payroll_Data_Analysis[[#This Row],[Payroll Taxes (Salary)]]</f>
        <v>587450.60614334466</v>
      </c>
      <c r="W597" s="13">
        <f>Payroll_Data_Analysis[[#This Row],[Total Payroll]]+Payroll_Data_Analysis[[#This Row],[Total Payroll Taxes]]</f>
        <v>2532651.2887372011</v>
      </c>
    </row>
    <row r="598" spans="1:23">
      <c r="A598" s="11" t="s">
        <v>675</v>
      </c>
      <c r="B598" s="5" t="s">
        <v>601</v>
      </c>
      <c r="C598" s="5" t="s">
        <v>749</v>
      </c>
      <c r="D598" s="28" t="str">
        <f>VLOOKUP(Payroll_Data_Analysis[[#This Row],[Position]],Position_Map!$A$2:$B$58,2,FALSE)</f>
        <v>Management</v>
      </c>
      <c r="E598" s="6">
        <v>1</v>
      </c>
      <c r="F598" s="7">
        <v>178000</v>
      </c>
      <c r="G598" s="7">
        <v>100000</v>
      </c>
      <c r="H598" s="7"/>
      <c r="I598" s="7">
        <f>dataset!$F598-dataset!$J598-dataset!$G598-dataset!$H598</f>
        <v>70000</v>
      </c>
      <c r="J598" s="7">
        <f>dataset!$G598*0.08</f>
        <v>8000</v>
      </c>
      <c r="K598" s="7">
        <f>dataset!$F598*12</f>
        <v>2136000</v>
      </c>
      <c r="L598" s="12">
        <f>IF(dataset!$G598&gt;=200000,38%,IF(dataset!$G598&lt;=145000,12.3%,))</f>
        <v>0.12300000000000001</v>
      </c>
      <c r="M598" s="7">
        <f>dataset!$G598*L599*12</f>
        <v>147600.00000000003</v>
      </c>
      <c r="N598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98" s="7">
        <f>dataset!$K598+dataset!$M598</f>
        <v>2283600</v>
      </c>
      <c r="P598" s="7">
        <f>Payroll_Data_Analysis[[#This Row],[Annual Salary + KPI Bonus]]/12/29.3*31</f>
        <v>201341.29692832765</v>
      </c>
      <c r="Q598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598" s="7">
        <f>Payroll_Data_Analysis[[#This Row],[Monthly Salary]]*11</f>
        <v>1958000</v>
      </c>
      <c r="S598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598" s="7">
        <f>IF(Payroll_Data_Analysis[[#This Row],[Base Salary (Monthly)]]&gt;=200000,69507,IF(Payroll_Data_Analysis[[#This Row],[Base Salary (Monthly)]]&gt;=145000,52684,35103))</f>
        <v>35103</v>
      </c>
      <c r="U598" s="7">
        <f>Payroll_Data_Analysis[[#This Row],[Annual KPI Bonus Reserve]]+Payroll_Data_Analysis[[#This Row],[Vacation Reserve]]+Payroll_Data_Analysis[[#This Row],[11-Month Salary]]</f>
        <v>2306941.2969283275</v>
      </c>
      <c r="V598" s="7">
        <f>Payroll_Data_Analysis[[#This Row],[Payroll Taxes (KPI Bonus)]]+Payroll_Data_Analysis[[#This Row],[Payroll Taxes (Vacation)]]+Payroll_Data_Analysis[[#This Row],[Payroll Taxes (Salary)]]</f>
        <v>696696.27167235501</v>
      </c>
      <c r="W598" s="13">
        <f>Payroll_Data_Analysis[[#This Row],[Total Payroll]]+Payroll_Data_Analysis[[#This Row],[Total Payroll Taxes]]</f>
        <v>3003637.5686006825</v>
      </c>
    </row>
    <row r="599" spans="1:23">
      <c r="A599" s="11" t="s">
        <v>675</v>
      </c>
      <c r="B599" s="5" t="s">
        <v>602</v>
      </c>
      <c r="C599" s="5" t="s">
        <v>704</v>
      </c>
      <c r="D599" s="28" t="str">
        <f>VLOOKUP(Payroll_Data_Analysis[[#This Row],[Position]],Position_Map!$A$2:$B$58,2,FALSE)</f>
        <v>Management</v>
      </c>
      <c r="E599" s="6">
        <v>1</v>
      </c>
      <c r="F599" s="7">
        <v>178000</v>
      </c>
      <c r="G599" s="7">
        <v>100000</v>
      </c>
      <c r="H599" s="7"/>
      <c r="I599" s="7">
        <f>dataset!$F599-dataset!$J599-dataset!$G599-dataset!$H599</f>
        <v>70000</v>
      </c>
      <c r="J599" s="7">
        <f>dataset!$G599*0.08</f>
        <v>8000</v>
      </c>
      <c r="K599" s="7">
        <f>dataset!$F599*12</f>
        <v>2136000</v>
      </c>
      <c r="L599" s="12">
        <f>IF(dataset!$G599&gt;=200000,38%,IF(dataset!$G599&lt;=145000,12.3%,))</f>
        <v>0.12300000000000001</v>
      </c>
      <c r="M599" s="7">
        <f>dataset!$G599*L600*12</f>
        <v>147600.00000000003</v>
      </c>
      <c r="N599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599" s="7">
        <f>dataset!$K599+dataset!$M599</f>
        <v>2283600</v>
      </c>
      <c r="P599" s="7">
        <f>Payroll_Data_Analysis[[#This Row],[Annual Salary + KPI Bonus]]/12/29.3*31</f>
        <v>201341.29692832765</v>
      </c>
      <c r="Q599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599" s="7">
        <f>Payroll_Data_Analysis[[#This Row],[Monthly Salary]]*11</f>
        <v>1958000</v>
      </c>
      <c r="S599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599" s="7">
        <f>IF(Payroll_Data_Analysis[[#This Row],[Base Salary (Monthly)]]&gt;=200000,69507,IF(Payroll_Data_Analysis[[#This Row],[Base Salary (Monthly)]]&gt;=145000,52684,35103))</f>
        <v>35103</v>
      </c>
      <c r="U599" s="7">
        <f>Payroll_Data_Analysis[[#This Row],[Annual KPI Bonus Reserve]]+Payroll_Data_Analysis[[#This Row],[Vacation Reserve]]+Payroll_Data_Analysis[[#This Row],[11-Month Salary]]</f>
        <v>2306941.2969283275</v>
      </c>
      <c r="V599" s="7">
        <f>Payroll_Data_Analysis[[#This Row],[Payroll Taxes (KPI Bonus)]]+Payroll_Data_Analysis[[#This Row],[Payroll Taxes (Vacation)]]+Payroll_Data_Analysis[[#This Row],[Payroll Taxes (Salary)]]</f>
        <v>696696.27167235501</v>
      </c>
      <c r="W599" s="13">
        <f>Payroll_Data_Analysis[[#This Row],[Total Payroll]]+Payroll_Data_Analysis[[#This Row],[Total Payroll Taxes]]</f>
        <v>3003637.5686006825</v>
      </c>
    </row>
    <row r="600" spans="1:23">
      <c r="A600" s="11" t="s">
        <v>675</v>
      </c>
      <c r="B600" s="5" t="s">
        <v>603</v>
      </c>
      <c r="C600" s="5" t="s">
        <v>708</v>
      </c>
      <c r="D600" s="28" t="str">
        <f>VLOOKUP(Payroll_Data_Analysis[[#This Row],[Position]],Position_Map!$A$2:$B$58,2,FALSE)</f>
        <v>Professional</v>
      </c>
      <c r="E600" s="6">
        <v>1</v>
      </c>
      <c r="F600" s="7">
        <v>104800</v>
      </c>
      <c r="G600" s="7">
        <v>60000</v>
      </c>
      <c r="H600" s="7"/>
      <c r="I600" s="7">
        <f>dataset!$F600-dataset!$J600-dataset!$G600-dataset!$H600</f>
        <v>40000</v>
      </c>
      <c r="J600" s="7">
        <f>dataset!$G600*0.08</f>
        <v>4800</v>
      </c>
      <c r="K600" s="7">
        <f>dataset!$F600*12</f>
        <v>1257600</v>
      </c>
      <c r="L600" s="12">
        <f>IF(dataset!$G600&gt;=200000,38%,IF(dataset!$G600&lt;=145000,12.3%,))</f>
        <v>0.12300000000000001</v>
      </c>
      <c r="M600" s="7">
        <f>dataset!$G600*L601*12</f>
        <v>88560.000000000015</v>
      </c>
      <c r="N60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00" s="7">
        <f>dataset!$K600+dataset!$M600</f>
        <v>1346160</v>
      </c>
      <c r="P600" s="7">
        <f>Payroll_Data_Analysis[[#This Row],[Annual Salary + KPI Bonus]]/12/29.3*31</f>
        <v>118688.73720136518</v>
      </c>
      <c r="Q600" s="7">
        <f>IF(Payroll_Data_Analysis[[#This Row],[Vacation Reserve]]&lt;=2979000,Payroll_Data_Analysis[[#This Row],[Vacation Reserve]]*0.302,2979000*0.302+(Payroll_Data_Analysis[[#This Row],[Vacation Reserve]]-2979000)*0.151)</f>
        <v>35843.998634812284</v>
      </c>
      <c r="R600" s="7">
        <f>Payroll_Data_Analysis[[#This Row],[Monthly Salary]]*11</f>
        <v>1152800</v>
      </c>
      <c r="S600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600" s="7">
        <f>IF(Payroll_Data_Analysis[[#This Row],[Base Salary (Monthly)]]&gt;=200000,69507,IF(Payroll_Data_Analysis[[#This Row],[Base Salary (Monthly)]]&gt;=145000,52684,35103))</f>
        <v>35103</v>
      </c>
      <c r="U600" s="7">
        <f>Payroll_Data_Analysis[[#This Row],[Annual KPI Bonus Reserve]]+Payroll_Data_Analysis[[#This Row],[Vacation Reserve]]+Payroll_Data_Analysis[[#This Row],[11-Month Salary]]</f>
        <v>1360048.7372013652</v>
      </c>
      <c r="V600" s="7">
        <f>Payroll_Data_Analysis[[#This Row],[Payroll Taxes (KPI Bonus)]]+Payroll_Data_Analysis[[#This Row],[Payroll Taxes (Vacation)]]+Payroll_Data_Analysis[[#This Row],[Payroll Taxes (Salary)]]</f>
        <v>410734.71863481228</v>
      </c>
      <c r="W600" s="13">
        <f>Payroll_Data_Analysis[[#This Row],[Total Payroll]]+Payroll_Data_Analysis[[#This Row],[Total Payroll Taxes]]</f>
        <v>1770783.4558361773</v>
      </c>
    </row>
    <row r="601" spans="1:23">
      <c r="A601" s="11" t="s">
        <v>675</v>
      </c>
      <c r="B601" s="5" t="s">
        <v>604</v>
      </c>
      <c r="C601" s="5" t="s">
        <v>703</v>
      </c>
      <c r="D601" s="28" t="str">
        <f>VLOOKUP(Payroll_Data_Analysis[[#This Row],[Position]],Position_Map!$A$2:$B$58,2,FALSE)</f>
        <v>Management</v>
      </c>
      <c r="E601" s="6">
        <v>1</v>
      </c>
      <c r="F601" s="7">
        <v>221600</v>
      </c>
      <c r="G601" s="7">
        <v>145000</v>
      </c>
      <c r="H601" s="7"/>
      <c r="I601" s="7">
        <f>dataset!$F601-dataset!$J601-dataset!$G601-dataset!$H601</f>
        <v>65000</v>
      </c>
      <c r="J601" s="7">
        <f>dataset!$G601*0.08</f>
        <v>11600</v>
      </c>
      <c r="K601" s="7">
        <f>dataset!$F601*12</f>
        <v>2659200</v>
      </c>
      <c r="L601" s="12">
        <f>IF(dataset!$G601&gt;=200000,38%,IF(dataset!$G601&lt;=145000,12.3%,))</f>
        <v>0.12300000000000001</v>
      </c>
      <c r="M601" s="7">
        <f>dataset!$G601*L602*12</f>
        <v>214020</v>
      </c>
      <c r="N60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1" s="7">
        <f>dataset!$K601+dataset!$M601</f>
        <v>2873220</v>
      </c>
      <c r="P601" s="7">
        <f>Payroll_Data_Analysis[[#This Row],[Annual Salary + KPI Bonus]]/12/29.3*31</f>
        <v>253327.13310580203</v>
      </c>
      <c r="Q601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601" s="7">
        <f>Payroll_Data_Analysis[[#This Row],[Monthly Salary]]*11</f>
        <v>2437600</v>
      </c>
      <c r="S601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601" s="7">
        <f>IF(Payroll_Data_Analysis[[#This Row],[Base Salary (Monthly)]]&gt;=200000,69507,IF(Payroll_Data_Analysis[[#This Row],[Base Salary (Monthly)]]&gt;=145000,52684,35103))</f>
        <v>52684</v>
      </c>
      <c r="U601" s="7">
        <f>Payroll_Data_Analysis[[#This Row],[Annual KPI Bonus Reserve]]+Payroll_Data_Analysis[[#This Row],[Vacation Reserve]]+Payroll_Data_Analysis[[#This Row],[11-Month Salary]]</f>
        <v>2904947.1331058019</v>
      </c>
      <c r="V601" s="7">
        <f>Payroll_Data_Analysis[[#This Row],[Payroll Taxes (KPI Bonus)]]+Payroll_Data_Analysis[[#This Row],[Payroll Taxes (Vacation)]]+Payroll_Data_Analysis[[#This Row],[Payroll Taxes (Salary)]]</f>
        <v>877294.03419795213</v>
      </c>
      <c r="W601" s="13">
        <f>Payroll_Data_Analysis[[#This Row],[Total Payroll]]+Payroll_Data_Analysis[[#This Row],[Total Payroll Taxes]]</f>
        <v>3782241.167303754</v>
      </c>
    </row>
    <row r="602" spans="1:23">
      <c r="A602" s="11" t="s">
        <v>675</v>
      </c>
      <c r="B602" s="5" t="s">
        <v>605</v>
      </c>
      <c r="C602" s="5" t="s">
        <v>704</v>
      </c>
      <c r="D602" s="28" t="str">
        <f>VLOOKUP(Payroll_Data_Analysis[[#This Row],[Position]],Position_Map!$A$2:$B$58,2,FALSE)</f>
        <v>Management</v>
      </c>
      <c r="E602" s="19">
        <v>1</v>
      </c>
      <c r="F602" s="7">
        <v>221600</v>
      </c>
      <c r="G602" s="7">
        <v>145000</v>
      </c>
      <c r="H602" s="7"/>
      <c r="I602" s="7">
        <f>dataset!$F602-dataset!$J602-dataset!$G602-dataset!$H602</f>
        <v>65000</v>
      </c>
      <c r="J602" s="7">
        <f>dataset!$G602*0.08</f>
        <v>11600</v>
      </c>
      <c r="K602" s="7">
        <f>dataset!$F602*12</f>
        <v>2659200</v>
      </c>
      <c r="L602" s="12">
        <f>IF(dataset!$G602&gt;=200000,38%,IF(dataset!$G602&lt;=145000,12.3%,))</f>
        <v>0.12300000000000001</v>
      </c>
      <c r="M602" s="7">
        <f>dataset!$G602*L603*12</f>
        <v>214020</v>
      </c>
      <c r="N60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2" s="7">
        <f>dataset!$K602+dataset!$M602</f>
        <v>2873220</v>
      </c>
      <c r="P602" s="7">
        <f>Payroll_Data_Analysis[[#This Row],[Annual Salary + KPI Bonus]]/12/29.3*31</f>
        <v>253327.13310580203</v>
      </c>
      <c r="Q602" s="7">
        <f>IF(Payroll_Data_Analysis[[#This Row],[Vacation Reserve]]&lt;=2979000,Payroll_Data_Analysis[[#This Row],[Vacation Reserve]]*0.302,2979000*0.302+(Payroll_Data_Analysis[[#This Row],[Vacation Reserve]]-2979000)*0.151)</f>
        <v>76504.794197952215</v>
      </c>
      <c r="R602" s="7">
        <f>Payroll_Data_Analysis[[#This Row],[Monthly Salary]]*11</f>
        <v>2437600</v>
      </c>
      <c r="S602" s="7">
        <f>IF(Payroll_Data_Analysis[[#This Row],[11-Month Salary]]&lt;=2979000,Payroll_Data_Analysis[[#This Row],[11-Month Salary]]*0.302,2979000*0.302+(Payroll_Data_Analysis[[#This Row],[11-Month Salary]]-2979000)*0.151)</f>
        <v>736155.2</v>
      </c>
      <c r="T602" s="7">
        <f>IF(Payroll_Data_Analysis[[#This Row],[Base Salary (Monthly)]]&gt;=200000,69507,IF(Payroll_Data_Analysis[[#This Row],[Base Salary (Monthly)]]&gt;=145000,52684,35103))</f>
        <v>52684</v>
      </c>
      <c r="U602" s="7">
        <f>Payroll_Data_Analysis[[#This Row],[Annual KPI Bonus Reserve]]+Payroll_Data_Analysis[[#This Row],[Vacation Reserve]]+Payroll_Data_Analysis[[#This Row],[11-Month Salary]]</f>
        <v>2904947.1331058019</v>
      </c>
      <c r="V602" s="7">
        <f>Payroll_Data_Analysis[[#This Row],[Payroll Taxes (KPI Bonus)]]+Payroll_Data_Analysis[[#This Row],[Payroll Taxes (Vacation)]]+Payroll_Data_Analysis[[#This Row],[Payroll Taxes (Salary)]]</f>
        <v>877294.03419795213</v>
      </c>
      <c r="W602" s="13">
        <f>Payroll_Data_Analysis[[#This Row],[Total Payroll]]+Payroll_Data_Analysis[[#This Row],[Total Payroll Taxes]]</f>
        <v>3782241.167303754</v>
      </c>
    </row>
    <row r="603" spans="1:23">
      <c r="A603" s="11" t="s">
        <v>675</v>
      </c>
      <c r="B603" s="5" t="s">
        <v>606</v>
      </c>
      <c r="C603" s="5" t="s">
        <v>705</v>
      </c>
      <c r="D603" s="28" t="str">
        <f>VLOOKUP(Payroll_Data_Analysis[[#This Row],[Position]],Position_Map!$A$2:$B$58,2,FALSE)</f>
        <v>Professional</v>
      </c>
      <c r="E603" s="6">
        <v>1</v>
      </c>
      <c r="F603" s="7">
        <v>138000</v>
      </c>
      <c r="G603" s="7">
        <v>100000</v>
      </c>
      <c r="H603" s="7"/>
      <c r="I603" s="7">
        <f>dataset!$F603-dataset!$J603-dataset!$G603-dataset!$H603</f>
        <v>30000</v>
      </c>
      <c r="J603" s="7">
        <f>dataset!$G603*0.08</f>
        <v>8000</v>
      </c>
      <c r="K603" s="7">
        <f>dataset!$F603*12</f>
        <v>1656000</v>
      </c>
      <c r="L603" s="12">
        <f>IF(dataset!$G603&gt;=200000,38%,IF(dataset!$G603&lt;=145000,12.3%,))</f>
        <v>0.12300000000000001</v>
      </c>
      <c r="M603" s="7">
        <f>dataset!$G603*L604*12</f>
        <v>456000</v>
      </c>
      <c r="N603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603" s="7">
        <f>dataset!$K603+dataset!$M603</f>
        <v>2112000</v>
      </c>
      <c r="P603" s="7">
        <f>Payroll_Data_Analysis[[#This Row],[Annual Salary + KPI Bonus]]/12/29.3*31</f>
        <v>186211.60409556312</v>
      </c>
      <c r="Q603" s="7">
        <f>IF(Payroll_Data_Analysis[[#This Row],[Vacation Reserve]]&lt;=2979000,Payroll_Data_Analysis[[#This Row],[Vacation Reserve]]*0.302,2979000*0.302+(Payroll_Data_Analysis[[#This Row],[Vacation Reserve]]-2979000)*0.151)</f>
        <v>56235.904436860059</v>
      </c>
      <c r="R603" s="7">
        <f>Payroll_Data_Analysis[[#This Row],[Monthly Salary]]*11</f>
        <v>1518000</v>
      </c>
      <c r="S603" s="7">
        <f>IF(Payroll_Data_Analysis[[#This Row],[11-Month Salary]]&lt;=2979000,Payroll_Data_Analysis[[#This Row],[11-Month Salary]]*0.302,2979000*0.302+(Payroll_Data_Analysis[[#This Row],[11-Month Salary]]-2979000)*0.151)</f>
        <v>458436</v>
      </c>
      <c r="T603" s="7">
        <f>IF(Payroll_Data_Analysis[[#This Row],[Base Salary (Monthly)]]&gt;=200000,69507,IF(Payroll_Data_Analysis[[#This Row],[Base Salary (Monthly)]]&gt;=145000,52684,35103))</f>
        <v>35103</v>
      </c>
      <c r="U603" s="7">
        <f>Payroll_Data_Analysis[[#This Row],[Annual KPI Bonus Reserve]]+Payroll_Data_Analysis[[#This Row],[Vacation Reserve]]+Payroll_Data_Analysis[[#This Row],[11-Month Salary]]</f>
        <v>2160211.6040955633</v>
      </c>
      <c r="V603" s="7">
        <f>Payroll_Data_Analysis[[#This Row],[Payroll Taxes (KPI Bonus)]]+Payroll_Data_Analysis[[#This Row],[Payroll Taxes (Vacation)]]+Payroll_Data_Analysis[[#This Row],[Payroll Taxes (Salary)]]</f>
        <v>652383.90443686</v>
      </c>
      <c r="W603" s="13">
        <f>Payroll_Data_Analysis[[#This Row],[Total Payroll]]+Payroll_Data_Analysis[[#This Row],[Total Payroll Taxes]]</f>
        <v>2812595.5085324235</v>
      </c>
    </row>
    <row r="604" spans="1:23">
      <c r="A604" s="11" t="s">
        <v>676</v>
      </c>
      <c r="B604" s="5" t="s">
        <v>607</v>
      </c>
      <c r="C604" s="5" t="s">
        <v>713</v>
      </c>
      <c r="D604" s="28" t="str">
        <f>VLOOKUP(Payroll_Data_Analysis[[#This Row],[Position]],Position_Map!$A$2:$B$58,2,FALSE)</f>
        <v>Management</v>
      </c>
      <c r="E604" s="6">
        <v>1</v>
      </c>
      <c r="F604" s="7">
        <v>396000</v>
      </c>
      <c r="G604" s="7">
        <v>200000</v>
      </c>
      <c r="H604" s="7">
        <v>20000</v>
      </c>
      <c r="I604" s="7">
        <f>dataset!$F604-dataset!$J604-dataset!$G604-dataset!$H604</f>
        <v>160000</v>
      </c>
      <c r="J604" s="7">
        <f>dataset!$G604*0.08</f>
        <v>16000</v>
      </c>
      <c r="K604" s="7">
        <f>dataset!$F604*12</f>
        <v>4752000</v>
      </c>
      <c r="L604" s="12">
        <f>IF(dataset!$G604&gt;=200000,38%,IF(dataset!$G604&lt;=145000,12.3%,))</f>
        <v>0.38</v>
      </c>
      <c r="M604" s="7">
        <f>dataset!$G604*L605*12</f>
        <v>295200.00000000006</v>
      </c>
      <c r="N604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604" s="7">
        <f>dataset!$K604+dataset!$M604</f>
        <v>5047200</v>
      </c>
      <c r="P604" s="7">
        <f>Payroll_Data_Analysis[[#This Row],[Annual Salary + KPI Bonus]]/12/29.3*31</f>
        <v>445003.41296928324</v>
      </c>
      <c r="Q604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604" s="7">
        <f>Payroll_Data_Analysis[[#This Row],[Monthly Salary]]*11</f>
        <v>4356000</v>
      </c>
      <c r="S604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604" s="7">
        <f>IF(Payroll_Data_Analysis[[#This Row],[Base Salary (Monthly)]]&gt;=200000,69507,IF(Payroll_Data_Analysis[[#This Row],[Base Salary (Monthly)]]&gt;=145000,52684,35103))</f>
        <v>69507</v>
      </c>
      <c r="U604" s="7">
        <f>Payroll_Data_Analysis[[#This Row],[Annual KPI Bonus Reserve]]+Payroll_Data_Analysis[[#This Row],[Vacation Reserve]]+Payroll_Data_Analysis[[#This Row],[11-Month Salary]]</f>
        <v>5096203.4129692838</v>
      </c>
      <c r="V604" s="7">
        <f>Payroll_Data_Analysis[[#This Row],[Payroll Taxes (KPI Bonus)]]+Payroll_Data_Analysis[[#This Row],[Payroll Taxes (Vacation)]]+Payroll_Data_Analysis[[#This Row],[Payroll Taxes (Salary)]]</f>
        <v>1331126.4307167237</v>
      </c>
      <c r="W604" s="13">
        <f>Payroll_Data_Analysis[[#This Row],[Total Payroll]]+Payroll_Data_Analysis[[#This Row],[Total Payroll Taxes]]</f>
        <v>6427329.843686007</v>
      </c>
    </row>
    <row r="605" spans="1:23">
      <c r="A605" s="11" t="s">
        <v>676</v>
      </c>
      <c r="B605" s="5" t="s">
        <v>608</v>
      </c>
      <c r="C605" s="5" t="s">
        <v>714</v>
      </c>
      <c r="D605" s="28" t="str">
        <f>VLOOKUP(Payroll_Data_Analysis[[#This Row],[Position]],Position_Map!$A$2:$B$58,2,FALSE)</f>
        <v>Management</v>
      </c>
      <c r="E605" s="6">
        <v>1</v>
      </c>
      <c r="F605" s="7">
        <v>271600</v>
      </c>
      <c r="G605" s="7">
        <v>145000</v>
      </c>
      <c r="H605" s="7"/>
      <c r="I605" s="7">
        <f>dataset!$F605-dataset!$J605-dataset!$G605-dataset!$H605</f>
        <v>115000</v>
      </c>
      <c r="J605" s="7">
        <f>dataset!$G605*0.08</f>
        <v>11600</v>
      </c>
      <c r="K605" s="7">
        <f>dataset!$F605*12</f>
        <v>3259200</v>
      </c>
      <c r="L605" s="12">
        <f>IF(dataset!$G605&gt;=200000,38%,IF(dataset!$G605&lt;=145000,12.3%,))</f>
        <v>0.12300000000000001</v>
      </c>
      <c r="M605" s="7">
        <f>dataset!$G605*L606*12</f>
        <v>214020</v>
      </c>
      <c r="N605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5" s="7">
        <f>dataset!$K605+dataset!$M605</f>
        <v>3473220</v>
      </c>
      <c r="P605" s="7">
        <f>Payroll_Data_Analysis[[#This Row],[Annual Salary + KPI Bonus]]/12/29.3*31</f>
        <v>306228.15699658706</v>
      </c>
      <c r="Q605" s="7">
        <f>IF(Payroll_Data_Analysis[[#This Row],[Vacation Reserve]]&lt;=2979000,Payroll_Data_Analysis[[#This Row],[Vacation Reserve]]*0.302,2979000*0.302+(Payroll_Data_Analysis[[#This Row],[Vacation Reserve]]-2979000)*0.151)</f>
        <v>92480.903412969288</v>
      </c>
      <c r="R605" s="7">
        <f>Payroll_Data_Analysis[[#This Row],[Monthly Salary]]*11</f>
        <v>2987600</v>
      </c>
      <c r="S605" s="7">
        <f>IF(Payroll_Data_Analysis[[#This Row],[11-Month Salary]]&lt;=2979000,Payroll_Data_Analysis[[#This Row],[11-Month Salary]]*0.302,2979000*0.302+(Payroll_Data_Analysis[[#This Row],[11-Month Salary]]-2979000)*0.151)</f>
        <v>900956.6</v>
      </c>
      <c r="T605" s="7">
        <f>IF(Payroll_Data_Analysis[[#This Row],[Base Salary (Monthly)]]&gt;=200000,69507,IF(Payroll_Data_Analysis[[#This Row],[Base Salary (Monthly)]]&gt;=145000,52684,35103))</f>
        <v>52684</v>
      </c>
      <c r="U605" s="7">
        <f>Payroll_Data_Analysis[[#This Row],[Annual KPI Bonus Reserve]]+Payroll_Data_Analysis[[#This Row],[Vacation Reserve]]+Payroll_Data_Analysis[[#This Row],[11-Month Salary]]</f>
        <v>3507848.1569965873</v>
      </c>
      <c r="V605" s="7">
        <f>Payroll_Data_Analysis[[#This Row],[Payroll Taxes (KPI Bonus)]]+Payroll_Data_Analysis[[#This Row],[Payroll Taxes (Vacation)]]+Payroll_Data_Analysis[[#This Row],[Payroll Taxes (Salary)]]</f>
        <v>1058071.5434129692</v>
      </c>
      <c r="W605" s="13">
        <f>Payroll_Data_Analysis[[#This Row],[Total Payroll]]+Payroll_Data_Analysis[[#This Row],[Total Payroll Taxes]]</f>
        <v>4565919.7004095567</v>
      </c>
    </row>
    <row r="606" spans="1:23">
      <c r="A606" s="11" t="s">
        <v>676</v>
      </c>
      <c r="B606" s="5" t="s">
        <v>609</v>
      </c>
      <c r="C606" s="5" t="s">
        <v>750</v>
      </c>
      <c r="D606" s="28" t="str">
        <f>VLOOKUP(Payroll_Data_Analysis[[#This Row],[Position]],Position_Map!$A$2:$B$58,2,FALSE)</f>
        <v>Professional</v>
      </c>
      <c r="E606" s="6">
        <v>1</v>
      </c>
      <c r="F606" s="7">
        <v>196600</v>
      </c>
      <c r="G606" s="7">
        <v>145000</v>
      </c>
      <c r="H606" s="7"/>
      <c r="I606" s="7">
        <f>dataset!$F606-dataset!$J606-dataset!$G606-dataset!$H606</f>
        <v>40000</v>
      </c>
      <c r="J606" s="7">
        <f>dataset!$G606*0.08</f>
        <v>11600</v>
      </c>
      <c r="K606" s="7">
        <f>dataset!$F606*12</f>
        <v>2359200</v>
      </c>
      <c r="L606" s="12">
        <f>IF(dataset!$G606&gt;=200000,38%,IF(dataset!$G606&lt;=145000,12.3%,))</f>
        <v>0.12300000000000001</v>
      </c>
      <c r="M606" s="7">
        <f>dataset!$G606*L607*12</f>
        <v>214020</v>
      </c>
      <c r="N606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6" s="7">
        <f>dataset!$K606+dataset!$M606</f>
        <v>2573220</v>
      </c>
      <c r="P606" s="7">
        <f>Payroll_Data_Analysis[[#This Row],[Annual Salary + KPI Bonus]]/12/29.3*31</f>
        <v>226876.62116040956</v>
      </c>
      <c r="Q606" s="7">
        <f>IF(Payroll_Data_Analysis[[#This Row],[Vacation Reserve]]&lt;=2979000,Payroll_Data_Analysis[[#This Row],[Vacation Reserve]]*0.302,2979000*0.302+(Payroll_Data_Analysis[[#This Row],[Vacation Reserve]]-2979000)*0.151)</f>
        <v>68516.739590443685</v>
      </c>
      <c r="R606" s="7">
        <f>Payroll_Data_Analysis[[#This Row],[Monthly Salary]]*11</f>
        <v>2162600</v>
      </c>
      <c r="S606" s="7">
        <f>IF(Payroll_Data_Analysis[[#This Row],[11-Month Salary]]&lt;=2979000,Payroll_Data_Analysis[[#This Row],[11-Month Salary]]*0.302,2979000*0.302+(Payroll_Data_Analysis[[#This Row],[11-Month Salary]]-2979000)*0.151)</f>
        <v>653105.19999999995</v>
      </c>
      <c r="T606" s="7">
        <f>IF(Payroll_Data_Analysis[[#This Row],[Base Salary (Monthly)]]&gt;=200000,69507,IF(Payroll_Data_Analysis[[#This Row],[Base Salary (Monthly)]]&gt;=145000,52684,35103))</f>
        <v>52684</v>
      </c>
      <c r="U606" s="7">
        <f>Payroll_Data_Analysis[[#This Row],[Annual KPI Bonus Reserve]]+Payroll_Data_Analysis[[#This Row],[Vacation Reserve]]+Payroll_Data_Analysis[[#This Row],[11-Month Salary]]</f>
        <v>2603496.6211604094</v>
      </c>
      <c r="V606" s="7">
        <f>Payroll_Data_Analysis[[#This Row],[Payroll Taxes (KPI Bonus)]]+Payroll_Data_Analysis[[#This Row],[Payroll Taxes (Vacation)]]+Payroll_Data_Analysis[[#This Row],[Payroll Taxes (Salary)]]</f>
        <v>786255.97959044366</v>
      </c>
      <c r="W606" s="13">
        <f>Payroll_Data_Analysis[[#This Row],[Total Payroll]]+Payroll_Data_Analysis[[#This Row],[Total Payroll Taxes]]</f>
        <v>3389752.6007508533</v>
      </c>
    </row>
    <row r="607" spans="1:23">
      <c r="A607" s="11" t="s">
        <v>676</v>
      </c>
      <c r="B607" s="5" t="s">
        <v>610</v>
      </c>
      <c r="C607" s="5" t="s">
        <v>703</v>
      </c>
      <c r="D607" s="28" t="str">
        <f>VLOOKUP(Payroll_Data_Analysis[[#This Row],[Position]],Position_Map!$A$2:$B$58,2,FALSE)</f>
        <v>Management</v>
      </c>
      <c r="E607" s="6">
        <v>1</v>
      </c>
      <c r="F607" s="7">
        <v>231600</v>
      </c>
      <c r="G607" s="7">
        <v>145000</v>
      </c>
      <c r="H607" s="7"/>
      <c r="I607" s="7">
        <f>dataset!$F607-dataset!$J607-dataset!$G607-dataset!$H607</f>
        <v>75000</v>
      </c>
      <c r="J607" s="7">
        <f>dataset!$G607*0.08</f>
        <v>11600</v>
      </c>
      <c r="K607" s="7">
        <f>dataset!$F607*12</f>
        <v>2779200</v>
      </c>
      <c r="L607" s="12">
        <f>IF(dataset!$G607&gt;=200000,38%,IF(dataset!$G607&lt;=145000,12.3%,))</f>
        <v>0.12300000000000001</v>
      </c>
      <c r="M607" s="7">
        <f>dataset!$G607*L608*12</f>
        <v>214020</v>
      </c>
      <c r="N607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7" s="7">
        <f>dataset!$K607+dataset!$M607</f>
        <v>2993220</v>
      </c>
      <c r="P607" s="7">
        <f>Payroll_Data_Analysis[[#This Row],[Annual Salary + KPI Bonus]]/12/29.3*31</f>
        <v>263907.33788395906</v>
      </c>
      <c r="Q607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607" s="7">
        <f>Payroll_Data_Analysis[[#This Row],[Monthly Salary]]*11</f>
        <v>2547600</v>
      </c>
      <c r="S607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607" s="7">
        <f>IF(Payroll_Data_Analysis[[#This Row],[Base Salary (Monthly)]]&gt;=200000,69507,IF(Payroll_Data_Analysis[[#This Row],[Base Salary (Monthly)]]&gt;=145000,52684,35103))</f>
        <v>52684</v>
      </c>
      <c r="U607" s="7">
        <f>Payroll_Data_Analysis[[#This Row],[Annual KPI Bonus Reserve]]+Payroll_Data_Analysis[[#This Row],[Vacation Reserve]]+Payroll_Data_Analysis[[#This Row],[11-Month Salary]]</f>
        <v>3025527.3378839591</v>
      </c>
      <c r="V607" s="7">
        <f>Payroll_Data_Analysis[[#This Row],[Payroll Taxes (KPI Bonus)]]+Payroll_Data_Analysis[[#This Row],[Payroll Taxes (Vacation)]]+Payroll_Data_Analysis[[#This Row],[Payroll Taxes (Salary)]]</f>
        <v>913709.25604095554</v>
      </c>
      <c r="W607" s="13">
        <f>Payroll_Data_Analysis[[#This Row],[Total Payroll]]+Payroll_Data_Analysis[[#This Row],[Total Payroll Taxes]]</f>
        <v>3939236.5939249145</v>
      </c>
    </row>
    <row r="608" spans="1:23">
      <c r="A608" s="11" t="s">
        <v>676</v>
      </c>
      <c r="B608" s="5" t="s">
        <v>611</v>
      </c>
      <c r="C608" s="5" t="s">
        <v>703</v>
      </c>
      <c r="D608" s="28" t="str">
        <f>VLOOKUP(Payroll_Data_Analysis[[#This Row],[Position]],Position_Map!$A$2:$B$58,2,FALSE)</f>
        <v>Management</v>
      </c>
      <c r="E608" s="6">
        <v>1</v>
      </c>
      <c r="F608" s="7">
        <v>231600</v>
      </c>
      <c r="G608" s="7">
        <v>145000</v>
      </c>
      <c r="H608" s="7"/>
      <c r="I608" s="7">
        <f>dataset!$F608-dataset!$J608-dataset!$G608-dataset!$H608</f>
        <v>75000</v>
      </c>
      <c r="J608" s="7">
        <f>dataset!$G608*0.08</f>
        <v>11600</v>
      </c>
      <c r="K608" s="7">
        <f>dataset!$F608*12</f>
        <v>2779200</v>
      </c>
      <c r="L608" s="12">
        <f>IF(dataset!$G608&gt;=200000,38%,IF(dataset!$G608&lt;=145000,12.3%,))</f>
        <v>0.12300000000000001</v>
      </c>
      <c r="M608" s="7">
        <f>dataset!$G608*L609*12</f>
        <v>214020</v>
      </c>
      <c r="N608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08" s="7">
        <f>dataset!$K608+dataset!$M608</f>
        <v>2993220</v>
      </c>
      <c r="P608" s="7">
        <f>Payroll_Data_Analysis[[#This Row],[Annual Salary + KPI Bonus]]/12/29.3*31</f>
        <v>263907.33788395906</v>
      </c>
      <c r="Q608" s="7">
        <f>IF(Payroll_Data_Analysis[[#This Row],[Vacation Reserve]]&lt;=2979000,Payroll_Data_Analysis[[#This Row],[Vacation Reserve]]*0.302,2979000*0.302+(Payroll_Data_Analysis[[#This Row],[Vacation Reserve]]-2979000)*0.151)</f>
        <v>79700.016040955627</v>
      </c>
      <c r="R608" s="7">
        <f>Payroll_Data_Analysis[[#This Row],[Monthly Salary]]*11</f>
        <v>2547600</v>
      </c>
      <c r="S608" s="7">
        <f>IF(Payroll_Data_Analysis[[#This Row],[11-Month Salary]]&lt;=2979000,Payroll_Data_Analysis[[#This Row],[11-Month Salary]]*0.302,2979000*0.302+(Payroll_Data_Analysis[[#This Row],[11-Month Salary]]-2979000)*0.151)</f>
        <v>769375.2</v>
      </c>
      <c r="T608" s="7">
        <f>IF(Payroll_Data_Analysis[[#This Row],[Base Salary (Monthly)]]&gt;=200000,69507,IF(Payroll_Data_Analysis[[#This Row],[Base Salary (Monthly)]]&gt;=145000,52684,35103))</f>
        <v>52684</v>
      </c>
      <c r="U608" s="7">
        <f>Payroll_Data_Analysis[[#This Row],[Annual KPI Bonus Reserve]]+Payroll_Data_Analysis[[#This Row],[Vacation Reserve]]+Payroll_Data_Analysis[[#This Row],[11-Month Salary]]</f>
        <v>3025527.3378839591</v>
      </c>
      <c r="V608" s="7">
        <f>Payroll_Data_Analysis[[#This Row],[Payroll Taxes (KPI Bonus)]]+Payroll_Data_Analysis[[#This Row],[Payroll Taxes (Vacation)]]+Payroll_Data_Analysis[[#This Row],[Payroll Taxes (Salary)]]</f>
        <v>913709.25604095554</v>
      </c>
      <c r="W608" s="13">
        <f>Payroll_Data_Analysis[[#This Row],[Total Payroll]]+Payroll_Data_Analysis[[#This Row],[Total Payroll Taxes]]</f>
        <v>3939236.5939249145</v>
      </c>
    </row>
    <row r="609" spans="1:23">
      <c r="A609" s="11" t="s">
        <v>676</v>
      </c>
      <c r="B609" s="5" t="s">
        <v>612</v>
      </c>
      <c r="C609" s="5" t="s">
        <v>705</v>
      </c>
      <c r="D609" s="28" t="str">
        <f>VLOOKUP(Payroll_Data_Analysis[[#This Row],[Position]],Position_Map!$A$2:$B$58,2,FALSE)</f>
        <v>Professional</v>
      </c>
      <c r="E609" s="6">
        <v>1</v>
      </c>
      <c r="F609" s="7">
        <v>184100</v>
      </c>
      <c r="G609" s="7">
        <v>145000</v>
      </c>
      <c r="H609" s="7"/>
      <c r="I609" s="7">
        <f>dataset!$F609-dataset!$J609-dataset!$G609-dataset!$H609</f>
        <v>27500</v>
      </c>
      <c r="J609" s="7">
        <f>dataset!$G609*0.08</f>
        <v>11600</v>
      </c>
      <c r="K609" s="7">
        <f>dataset!$F609*12</f>
        <v>2209200</v>
      </c>
      <c r="L609" s="12">
        <f>IF(dataset!$G609&gt;=200000,38%,IF(dataset!$G609&lt;=145000,12.3%,))</f>
        <v>0.12300000000000001</v>
      </c>
      <c r="M609" s="7">
        <f>dataset!$G609*L610*12</f>
        <v>661200</v>
      </c>
      <c r="N609" s="7">
        <f>IF(Payroll_Data_Analysis[[#This Row],[Annual KPI Bonus Reserve]]&lt;=2979000,Payroll_Data_Analysis[[#This Row],[Annual KPI Bonus Reserve]]*0.302,2979000*0.302+(Payroll_Data_Analysis[[#This Row],[Annual KPI Bonus Reserve]]-2979000)*0.151)</f>
        <v>199682.4</v>
      </c>
      <c r="O609" s="7">
        <f>dataset!$K609+dataset!$M609</f>
        <v>2870400</v>
      </c>
      <c r="P609" s="7">
        <f>Payroll_Data_Analysis[[#This Row],[Annual Salary + KPI Bonus]]/12/29.3*31</f>
        <v>253078.49829351535</v>
      </c>
      <c r="Q609" s="7">
        <f>IF(Payroll_Data_Analysis[[#This Row],[Vacation Reserve]]&lt;=2979000,Payroll_Data_Analysis[[#This Row],[Vacation Reserve]]*0.302,2979000*0.302+(Payroll_Data_Analysis[[#This Row],[Vacation Reserve]]-2979000)*0.151)</f>
        <v>76429.706484641632</v>
      </c>
      <c r="R609" s="7">
        <f>Payroll_Data_Analysis[[#This Row],[Monthly Salary]]*11</f>
        <v>2025100</v>
      </c>
      <c r="S609" s="7">
        <f>IF(Payroll_Data_Analysis[[#This Row],[11-Month Salary]]&lt;=2979000,Payroll_Data_Analysis[[#This Row],[11-Month Salary]]*0.302,2979000*0.302+(Payroll_Data_Analysis[[#This Row],[11-Month Salary]]-2979000)*0.151)</f>
        <v>611580.19999999995</v>
      </c>
      <c r="T609" s="7">
        <f>IF(Payroll_Data_Analysis[[#This Row],[Base Salary (Monthly)]]&gt;=200000,69507,IF(Payroll_Data_Analysis[[#This Row],[Base Salary (Monthly)]]&gt;=145000,52684,35103))</f>
        <v>52684</v>
      </c>
      <c r="U609" s="7">
        <f>Payroll_Data_Analysis[[#This Row],[Annual KPI Bonus Reserve]]+Payroll_Data_Analysis[[#This Row],[Vacation Reserve]]+Payroll_Data_Analysis[[#This Row],[11-Month Salary]]</f>
        <v>2939378.4982935153</v>
      </c>
      <c r="V609" s="7">
        <f>Payroll_Data_Analysis[[#This Row],[Payroll Taxes (KPI Bonus)]]+Payroll_Data_Analysis[[#This Row],[Payroll Taxes (Vacation)]]+Payroll_Data_Analysis[[#This Row],[Payroll Taxes (Salary)]]</f>
        <v>887692.30648464151</v>
      </c>
      <c r="W609" s="13">
        <f>Payroll_Data_Analysis[[#This Row],[Total Payroll]]+Payroll_Data_Analysis[[#This Row],[Total Payroll Taxes]]</f>
        <v>3827070.8047781568</v>
      </c>
    </row>
    <row r="610" spans="1:23">
      <c r="A610" s="11" t="s">
        <v>677</v>
      </c>
      <c r="B610" s="5" t="s">
        <v>613</v>
      </c>
      <c r="C610" s="5" t="s">
        <v>713</v>
      </c>
      <c r="D610" s="28" t="str">
        <f>VLOOKUP(Payroll_Data_Analysis[[#This Row],[Position]],Position_Map!$A$2:$B$58,2,FALSE)</f>
        <v>Management</v>
      </c>
      <c r="E610" s="6">
        <v>1</v>
      </c>
      <c r="F610" s="7">
        <v>396000</v>
      </c>
      <c r="G610" s="7">
        <v>200000</v>
      </c>
      <c r="H610" s="7"/>
      <c r="I610" s="7">
        <f>dataset!$F610-dataset!$J610-dataset!$G610-dataset!$H610</f>
        <v>180000</v>
      </c>
      <c r="J610" s="7">
        <f>dataset!$G610*0.08</f>
        <v>16000</v>
      </c>
      <c r="K610" s="7">
        <f>dataset!$F610*12</f>
        <v>4752000</v>
      </c>
      <c r="L610" s="12">
        <f>IF(dataset!$G610&gt;=200000,38%,IF(dataset!$G610&lt;=145000,12.3%,))</f>
        <v>0.38</v>
      </c>
      <c r="M610" s="7">
        <f>dataset!$G610*L611*12</f>
        <v>295200.00000000006</v>
      </c>
      <c r="N610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610" s="7">
        <f>dataset!$K610+dataset!$M610</f>
        <v>5047200</v>
      </c>
      <c r="P610" s="7">
        <f>Payroll_Data_Analysis[[#This Row],[Annual Salary + KPI Bonus]]/12/29.3*31</f>
        <v>445003.41296928324</v>
      </c>
      <c r="Q610" s="7">
        <f>IF(Payroll_Data_Analysis[[#This Row],[Vacation Reserve]]&lt;=2979000,Payroll_Data_Analysis[[#This Row],[Vacation Reserve]]*0.302,2979000*0.302+(Payroll_Data_Analysis[[#This Row],[Vacation Reserve]]-2979000)*0.151)</f>
        <v>134391.03071672353</v>
      </c>
      <c r="R610" s="7">
        <f>Payroll_Data_Analysis[[#This Row],[Monthly Salary]]*11</f>
        <v>4356000</v>
      </c>
      <c r="S610" s="7">
        <f>IF(Payroll_Data_Analysis[[#This Row],[11-Month Salary]]&lt;=2979000,Payroll_Data_Analysis[[#This Row],[11-Month Salary]]*0.302,2979000*0.302+(Payroll_Data_Analysis[[#This Row],[11-Month Salary]]-2979000)*0.151)</f>
        <v>1107585</v>
      </c>
      <c r="T610" s="7">
        <f>IF(Payroll_Data_Analysis[[#This Row],[Base Salary (Monthly)]]&gt;=200000,69507,IF(Payroll_Data_Analysis[[#This Row],[Base Salary (Monthly)]]&gt;=145000,52684,35103))</f>
        <v>69507</v>
      </c>
      <c r="U610" s="7">
        <f>Payroll_Data_Analysis[[#This Row],[Annual KPI Bonus Reserve]]+Payroll_Data_Analysis[[#This Row],[Vacation Reserve]]+Payroll_Data_Analysis[[#This Row],[11-Month Salary]]</f>
        <v>5096203.4129692838</v>
      </c>
      <c r="V610" s="7">
        <f>Payroll_Data_Analysis[[#This Row],[Payroll Taxes (KPI Bonus)]]+Payroll_Data_Analysis[[#This Row],[Payroll Taxes (Vacation)]]+Payroll_Data_Analysis[[#This Row],[Payroll Taxes (Salary)]]</f>
        <v>1331126.4307167237</v>
      </c>
      <c r="W610" s="13">
        <f>Payroll_Data_Analysis[[#This Row],[Total Payroll]]+Payroll_Data_Analysis[[#This Row],[Total Payroll Taxes]]</f>
        <v>6427329.843686007</v>
      </c>
    </row>
    <row r="611" spans="1:23">
      <c r="A611" s="11" t="s">
        <v>677</v>
      </c>
      <c r="B611" s="5" t="s">
        <v>614</v>
      </c>
      <c r="C611" s="5" t="s">
        <v>714</v>
      </c>
      <c r="D611" s="28" t="str">
        <f>VLOOKUP(Payroll_Data_Analysis[[#This Row],[Position]],Position_Map!$A$2:$B$58,2,FALSE)</f>
        <v>Management</v>
      </c>
      <c r="E611" s="6">
        <v>1</v>
      </c>
      <c r="F611" s="7">
        <v>261600</v>
      </c>
      <c r="G611" s="7">
        <v>145000</v>
      </c>
      <c r="H611" s="7"/>
      <c r="I611" s="7">
        <f>dataset!$F611-dataset!$J611-dataset!$G611-dataset!$H611</f>
        <v>105000</v>
      </c>
      <c r="J611" s="7">
        <f>dataset!$G611*0.08</f>
        <v>11600</v>
      </c>
      <c r="K611" s="7">
        <f>dataset!$F611*12</f>
        <v>3139200</v>
      </c>
      <c r="L611" s="12">
        <f>IF(dataset!$G611&gt;=200000,38%,IF(dataset!$G611&lt;=145000,12.3%,))</f>
        <v>0.12300000000000001</v>
      </c>
      <c r="M611" s="7">
        <f>dataset!$G611*L612*12</f>
        <v>214020</v>
      </c>
      <c r="N61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11" s="7">
        <f>dataset!$K611+dataset!$M611</f>
        <v>3353220</v>
      </c>
      <c r="P611" s="7">
        <f>Payroll_Data_Analysis[[#This Row],[Annual Salary + KPI Bonus]]/12/29.3*31</f>
        <v>295647.95221843006</v>
      </c>
      <c r="Q611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611" s="7">
        <f>Payroll_Data_Analysis[[#This Row],[Monthly Salary]]*11</f>
        <v>2877600</v>
      </c>
      <c r="S611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611" s="7">
        <f>IF(Payroll_Data_Analysis[[#This Row],[Base Salary (Monthly)]]&gt;=200000,69507,IF(Payroll_Data_Analysis[[#This Row],[Base Salary (Monthly)]]&gt;=145000,52684,35103))</f>
        <v>52684</v>
      </c>
      <c r="U611" s="7">
        <f>Payroll_Data_Analysis[[#This Row],[Annual KPI Bonus Reserve]]+Payroll_Data_Analysis[[#This Row],[Vacation Reserve]]+Payroll_Data_Analysis[[#This Row],[11-Month Salary]]</f>
        <v>3387267.9522184301</v>
      </c>
      <c r="V611" s="7">
        <f>Payroll_Data_Analysis[[#This Row],[Payroll Taxes (KPI Bonus)]]+Payroll_Data_Analysis[[#This Row],[Payroll Taxes (Vacation)]]+Payroll_Data_Analysis[[#This Row],[Payroll Taxes (Salary)]]</f>
        <v>1022954.9215699658</v>
      </c>
      <c r="W611" s="13">
        <f>Payroll_Data_Analysis[[#This Row],[Total Payroll]]+Payroll_Data_Analysis[[#This Row],[Total Payroll Taxes]]</f>
        <v>4410222.8737883959</v>
      </c>
    </row>
    <row r="612" spans="1:23">
      <c r="A612" s="11" t="s">
        <v>677</v>
      </c>
      <c r="B612" s="5" t="s">
        <v>615</v>
      </c>
      <c r="C612" s="5" t="s">
        <v>699</v>
      </c>
      <c r="D612" s="28" t="str">
        <f>VLOOKUP(Payroll_Data_Analysis[[#This Row],[Position]],Position_Map!$A$2:$B$58,2,FALSE)</f>
        <v>Professional</v>
      </c>
      <c r="E612" s="6">
        <v>1</v>
      </c>
      <c r="F612" s="7">
        <v>261600</v>
      </c>
      <c r="G612" s="7">
        <v>145000</v>
      </c>
      <c r="H612" s="7"/>
      <c r="I612" s="7">
        <f>dataset!$F612-dataset!$J612-dataset!$G612-dataset!$H612</f>
        <v>105000</v>
      </c>
      <c r="J612" s="7">
        <f>dataset!$G612*0.08</f>
        <v>11600</v>
      </c>
      <c r="K612" s="7">
        <f>dataset!$F612*12</f>
        <v>3139200</v>
      </c>
      <c r="L612" s="12">
        <f>IF(dataset!$G612&gt;=200000,38%,IF(dataset!$G612&lt;=145000,12.3%,))</f>
        <v>0.12300000000000001</v>
      </c>
      <c r="M612" s="7">
        <f>dataset!$G612*L613*12</f>
        <v>214020</v>
      </c>
      <c r="N61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12" s="7">
        <f>dataset!$K612+dataset!$M612</f>
        <v>3353220</v>
      </c>
      <c r="P612" s="7">
        <f>Payroll_Data_Analysis[[#This Row],[Annual Salary + KPI Bonus]]/12/29.3*31</f>
        <v>295647.95221843006</v>
      </c>
      <c r="Q612" s="7">
        <f>IF(Payroll_Data_Analysis[[#This Row],[Vacation Reserve]]&lt;=2979000,Payroll_Data_Analysis[[#This Row],[Vacation Reserve]]*0.302,2979000*0.302+(Payroll_Data_Analysis[[#This Row],[Vacation Reserve]]-2979000)*0.151)</f>
        <v>89285.681569965876</v>
      </c>
      <c r="R612" s="7">
        <f>Payroll_Data_Analysis[[#This Row],[Monthly Salary]]*11</f>
        <v>2877600</v>
      </c>
      <c r="S612" s="7">
        <f>IF(Payroll_Data_Analysis[[#This Row],[11-Month Salary]]&lt;=2979000,Payroll_Data_Analysis[[#This Row],[11-Month Salary]]*0.302,2979000*0.302+(Payroll_Data_Analysis[[#This Row],[11-Month Salary]]-2979000)*0.151)</f>
        <v>869035.2</v>
      </c>
      <c r="T612" s="7">
        <f>IF(Payroll_Data_Analysis[[#This Row],[Base Salary (Monthly)]]&gt;=200000,69507,IF(Payroll_Data_Analysis[[#This Row],[Base Salary (Monthly)]]&gt;=145000,52684,35103))</f>
        <v>52684</v>
      </c>
      <c r="U612" s="7">
        <f>Payroll_Data_Analysis[[#This Row],[Annual KPI Bonus Reserve]]+Payroll_Data_Analysis[[#This Row],[Vacation Reserve]]+Payroll_Data_Analysis[[#This Row],[11-Month Salary]]</f>
        <v>3387267.9522184301</v>
      </c>
      <c r="V612" s="7">
        <f>Payroll_Data_Analysis[[#This Row],[Payroll Taxes (KPI Bonus)]]+Payroll_Data_Analysis[[#This Row],[Payroll Taxes (Vacation)]]+Payroll_Data_Analysis[[#This Row],[Payroll Taxes (Salary)]]</f>
        <v>1022954.9215699658</v>
      </c>
      <c r="W612" s="13">
        <f>Payroll_Data_Analysis[[#This Row],[Total Payroll]]+Payroll_Data_Analysis[[#This Row],[Total Payroll Taxes]]</f>
        <v>4410222.8737883959</v>
      </c>
    </row>
    <row r="613" spans="1:23">
      <c r="A613" s="11" t="s">
        <v>677</v>
      </c>
      <c r="B613" s="5" t="s">
        <v>616</v>
      </c>
      <c r="C613" s="5" t="s">
        <v>698</v>
      </c>
      <c r="D613" s="28" t="str">
        <f>VLOOKUP(Payroll_Data_Analysis[[#This Row],[Position]],Position_Map!$A$2:$B$58,2,FALSE)</f>
        <v>Administration</v>
      </c>
      <c r="E613" s="6">
        <v>1</v>
      </c>
      <c r="F613" s="7">
        <v>178000</v>
      </c>
      <c r="G613" s="7">
        <v>100000</v>
      </c>
      <c r="H613" s="7"/>
      <c r="I613" s="7">
        <f>dataset!$F613-dataset!$J613-dataset!$G613-dataset!$H613</f>
        <v>70000</v>
      </c>
      <c r="J613" s="7">
        <f>dataset!$G613*0.08</f>
        <v>8000</v>
      </c>
      <c r="K613" s="7">
        <f>dataset!$F613*12</f>
        <v>2136000</v>
      </c>
      <c r="L613" s="12">
        <f>IF(dataset!$G613&gt;=200000,38%,IF(dataset!$G613&lt;=145000,12.3%,))</f>
        <v>0.12300000000000001</v>
      </c>
      <c r="M613" s="7">
        <f>dataset!$G613*L614*12</f>
        <v>147600.00000000003</v>
      </c>
      <c r="N61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13" s="7">
        <f>dataset!$K613+dataset!$M613</f>
        <v>2283600</v>
      </c>
      <c r="P613" s="7">
        <f>Payroll_Data_Analysis[[#This Row],[Annual Salary + KPI Bonus]]/12/29.3*31</f>
        <v>201341.29692832765</v>
      </c>
      <c r="Q613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613" s="7">
        <f>Payroll_Data_Analysis[[#This Row],[Monthly Salary]]*11</f>
        <v>1958000</v>
      </c>
      <c r="S613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613" s="7">
        <f>IF(Payroll_Data_Analysis[[#This Row],[Base Salary (Monthly)]]&gt;=200000,69507,IF(Payroll_Data_Analysis[[#This Row],[Base Salary (Monthly)]]&gt;=145000,52684,35103))</f>
        <v>35103</v>
      </c>
      <c r="U613" s="7">
        <f>Payroll_Data_Analysis[[#This Row],[Annual KPI Bonus Reserve]]+Payroll_Data_Analysis[[#This Row],[Vacation Reserve]]+Payroll_Data_Analysis[[#This Row],[11-Month Salary]]</f>
        <v>2306941.2969283275</v>
      </c>
      <c r="V613" s="7">
        <f>Payroll_Data_Analysis[[#This Row],[Payroll Taxes (KPI Bonus)]]+Payroll_Data_Analysis[[#This Row],[Payroll Taxes (Vacation)]]+Payroll_Data_Analysis[[#This Row],[Payroll Taxes (Salary)]]</f>
        <v>696696.27167235501</v>
      </c>
      <c r="W613" s="13">
        <f>Payroll_Data_Analysis[[#This Row],[Total Payroll]]+Payroll_Data_Analysis[[#This Row],[Total Payroll Taxes]]</f>
        <v>3003637.5686006825</v>
      </c>
    </row>
    <row r="614" spans="1:23">
      <c r="A614" s="11" t="s">
        <v>677</v>
      </c>
      <c r="B614" s="5" t="s">
        <v>617</v>
      </c>
      <c r="C614" s="5" t="s">
        <v>710</v>
      </c>
      <c r="D614" s="28" t="str">
        <f>VLOOKUP(Payroll_Data_Analysis[[#This Row],[Position]],Position_Map!$A$2:$B$58,2,FALSE)</f>
        <v>Professional</v>
      </c>
      <c r="E614" s="6">
        <v>1</v>
      </c>
      <c r="F614" s="7">
        <v>74000</v>
      </c>
      <c r="G614" s="7">
        <v>50000</v>
      </c>
      <c r="H614" s="7"/>
      <c r="I614" s="7">
        <f>dataset!$F614-dataset!$J614-dataset!$G614-dataset!$H614</f>
        <v>20000</v>
      </c>
      <c r="J614" s="7">
        <f>dataset!$G614*0.08</f>
        <v>4000</v>
      </c>
      <c r="K614" s="7">
        <f>dataset!$F614*12</f>
        <v>888000</v>
      </c>
      <c r="L614" s="12">
        <f>IF(dataset!$G614&gt;=200000,38%,IF(dataset!$G614&lt;=145000,12.3%,))</f>
        <v>0.12300000000000001</v>
      </c>
      <c r="M614" s="7">
        <f>dataset!$G614*L615*12</f>
        <v>73800.000000000015</v>
      </c>
      <c r="N614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614" s="7">
        <f>dataset!$K614+dataset!$M614</f>
        <v>961800</v>
      </c>
      <c r="P614" s="7">
        <f>Payroll_Data_Analysis[[#This Row],[Annual Salary + KPI Bonus]]/12/29.3*31</f>
        <v>84800.341296928324</v>
      </c>
      <c r="Q614" s="7">
        <f>IF(Payroll_Data_Analysis[[#This Row],[Vacation Reserve]]&lt;=2979000,Payroll_Data_Analysis[[#This Row],[Vacation Reserve]]*0.302,2979000*0.302+(Payroll_Data_Analysis[[#This Row],[Vacation Reserve]]-2979000)*0.151)</f>
        <v>25609.703071672353</v>
      </c>
      <c r="R614" s="7">
        <f>Payroll_Data_Analysis[[#This Row],[Monthly Salary]]*11</f>
        <v>814000</v>
      </c>
      <c r="S614" s="7">
        <f>IF(Payroll_Data_Analysis[[#This Row],[11-Month Salary]]&lt;=2979000,Payroll_Data_Analysis[[#This Row],[11-Month Salary]]*0.302,2979000*0.302+(Payroll_Data_Analysis[[#This Row],[11-Month Salary]]-2979000)*0.151)</f>
        <v>245828</v>
      </c>
      <c r="T614" s="7">
        <f>IF(Payroll_Data_Analysis[[#This Row],[Base Salary (Monthly)]]&gt;=200000,69507,IF(Payroll_Data_Analysis[[#This Row],[Base Salary (Monthly)]]&gt;=145000,52684,35103))</f>
        <v>35103</v>
      </c>
      <c r="U614" s="7">
        <f>Payroll_Data_Analysis[[#This Row],[Annual KPI Bonus Reserve]]+Payroll_Data_Analysis[[#This Row],[Vacation Reserve]]+Payroll_Data_Analysis[[#This Row],[11-Month Salary]]</f>
        <v>972600.34129692835</v>
      </c>
      <c r="V614" s="7">
        <f>Payroll_Data_Analysis[[#This Row],[Payroll Taxes (KPI Bonus)]]+Payroll_Data_Analysis[[#This Row],[Payroll Taxes (Vacation)]]+Payroll_Data_Analysis[[#This Row],[Payroll Taxes (Salary)]]</f>
        <v>293725.30307167233</v>
      </c>
      <c r="W614" s="13">
        <f>Payroll_Data_Analysis[[#This Row],[Total Payroll]]+Payroll_Data_Analysis[[#This Row],[Total Payroll Taxes]]</f>
        <v>1266325.6443686006</v>
      </c>
    </row>
    <row r="615" spans="1:23">
      <c r="A615" s="11" t="s">
        <v>678</v>
      </c>
      <c r="B615" s="5" t="s">
        <v>618</v>
      </c>
      <c r="C615" s="5" t="s">
        <v>749</v>
      </c>
      <c r="D615" s="28" t="str">
        <f>VLOOKUP(Payroll_Data_Analysis[[#This Row],[Position]],Position_Map!$A$2:$B$58,2,FALSE)</f>
        <v>Management</v>
      </c>
      <c r="E615" s="6">
        <v>1</v>
      </c>
      <c r="F615" s="7">
        <v>178000</v>
      </c>
      <c r="G615" s="7">
        <v>100000</v>
      </c>
      <c r="H615" s="7"/>
      <c r="I615" s="7">
        <f>dataset!$F615-dataset!$J615-dataset!$G615-dataset!$H615</f>
        <v>70000</v>
      </c>
      <c r="J615" s="7">
        <f>dataset!$G615*0.08</f>
        <v>8000</v>
      </c>
      <c r="K615" s="7">
        <f>dataset!$F615*12</f>
        <v>2136000</v>
      </c>
      <c r="L615" s="12">
        <f>IF(dataset!$G615&gt;=200000,38%,IF(dataset!$G615&lt;=145000,12.3%,))</f>
        <v>0.12300000000000001</v>
      </c>
      <c r="M615" s="7">
        <f>dataset!$G615*L616*12</f>
        <v>147600.00000000003</v>
      </c>
      <c r="N61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15" s="7">
        <f>dataset!$K615+dataset!$M615</f>
        <v>2283600</v>
      </c>
      <c r="P615" s="7">
        <f>Payroll_Data_Analysis[[#This Row],[Annual Salary + KPI Bonus]]/12/29.3*31</f>
        <v>201341.29692832765</v>
      </c>
      <c r="Q615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615" s="7">
        <f>Payroll_Data_Analysis[[#This Row],[Monthly Salary]]*11</f>
        <v>1958000</v>
      </c>
      <c r="S615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615" s="7">
        <f>IF(Payroll_Data_Analysis[[#This Row],[Base Salary (Monthly)]]&gt;=200000,69507,IF(Payroll_Data_Analysis[[#This Row],[Base Salary (Monthly)]]&gt;=145000,52684,35103))</f>
        <v>35103</v>
      </c>
      <c r="U615" s="7">
        <f>Payroll_Data_Analysis[[#This Row],[Annual KPI Bonus Reserve]]+Payroll_Data_Analysis[[#This Row],[Vacation Reserve]]+Payroll_Data_Analysis[[#This Row],[11-Month Salary]]</f>
        <v>2306941.2969283275</v>
      </c>
      <c r="V615" s="7">
        <f>Payroll_Data_Analysis[[#This Row],[Payroll Taxes (KPI Bonus)]]+Payroll_Data_Analysis[[#This Row],[Payroll Taxes (Vacation)]]+Payroll_Data_Analysis[[#This Row],[Payroll Taxes (Salary)]]</f>
        <v>696696.27167235501</v>
      </c>
      <c r="W615" s="13">
        <f>Payroll_Data_Analysis[[#This Row],[Total Payroll]]+Payroll_Data_Analysis[[#This Row],[Total Payroll Taxes]]</f>
        <v>3003637.5686006825</v>
      </c>
    </row>
    <row r="616" spans="1:23">
      <c r="A616" s="11" t="s">
        <v>678</v>
      </c>
      <c r="B616" s="5" t="s">
        <v>619</v>
      </c>
      <c r="C616" s="5" t="s">
        <v>704</v>
      </c>
      <c r="D616" s="28" t="str">
        <f>VLOOKUP(Payroll_Data_Analysis[[#This Row],[Position]],Position_Map!$A$2:$B$58,2,FALSE)</f>
        <v>Management</v>
      </c>
      <c r="E616" s="6">
        <v>1</v>
      </c>
      <c r="F616" s="7">
        <v>126400</v>
      </c>
      <c r="G616" s="7">
        <v>80000</v>
      </c>
      <c r="H616" s="7"/>
      <c r="I616" s="7">
        <f>dataset!$F616-dataset!$J616-dataset!$G616-dataset!$H616</f>
        <v>40000</v>
      </c>
      <c r="J616" s="7">
        <f>dataset!$G616*0.08</f>
        <v>6400</v>
      </c>
      <c r="K616" s="7">
        <f>dataset!$F616*12</f>
        <v>1516800</v>
      </c>
      <c r="L616" s="12">
        <f>IF(dataset!$G616&gt;=200000,38%,IF(dataset!$G616&lt;=145000,12.3%,))</f>
        <v>0.12300000000000001</v>
      </c>
      <c r="M616" s="7">
        <f>dataset!$G616*L617*12</f>
        <v>118080.00000000003</v>
      </c>
      <c r="N61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16" s="7">
        <f>dataset!$K616+dataset!$M616</f>
        <v>1634880</v>
      </c>
      <c r="P616" s="7">
        <f>Payroll_Data_Analysis[[#This Row],[Annual Salary + KPI Bonus]]/12/29.3*31</f>
        <v>144144.70989761094</v>
      </c>
      <c r="Q616" s="7">
        <f>IF(Payroll_Data_Analysis[[#This Row],[Vacation Reserve]]&lt;=2979000,Payroll_Data_Analysis[[#This Row],[Vacation Reserve]]*0.302,2979000*0.302+(Payroll_Data_Analysis[[#This Row],[Vacation Reserve]]-2979000)*0.151)</f>
        <v>43531.702389078506</v>
      </c>
      <c r="R616" s="7">
        <f>Payroll_Data_Analysis[[#This Row],[Monthly Salary]]*11</f>
        <v>1390400</v>
      </c>
      <c r="S616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616" s="7">
        <f>IF(Payroll_Data_Analysis[[#This Row],[Base Salary (Monthly)]]&gt;=200000,69507,IF(Payroll_Data_Analysis[[#This Row],[Base Salary (Monthly)]]&gt;=145000,52684,35103))</f>
        <v>35103</v>
      </c>
      <c r="U616" s="7">
        <f>Payroll_Data_Analysis[[#This Row],[Annual KPI Bonus Reserve]]+Payroll_Data_Analysis[[#This Row],[Vacation Reserve]]+Payroll_Data_Analysis[[#This Row],[11-Month Salary]]</f>
        <v>1652624.7098976108</v>
      </c>
      <c r="V616" s="7">
        <f>Payroll_Data_Analysis[[#This Row],[Payroll Taxes (KPI Bonus)]]+Payroll_Data_Analysis[[#This Row],[Payroll Taxes (Vacation)]]+Payroll_Data_Analysis[[#This Row],[Payroll Taxes (Salary)]]</f>
        <v>499092.66238907853</v>
      </c>
      <c r="W616" s="13">
        <f>Payroll_Data_Analysis[[#This Row],[Total Payroll]]+Payroll_Data_Analysis[[#This Row],[Total Payroll Taxes]]</f>
        <v>2151717.3722866895</v>
      </c>
    </row>
    <row r="617" spans="1:23">
      <c r="A617" s="11" t="s">
        <v>678</v>
      </c>
      <c r="B617" s="5" t="s">
        <v>620</v>
      </c>
      <c r="C617" s="5" t="s">
        <v>705</v>
      </c>
      <c r="D617" s="28" t="str">
        <f>VLOOKUP(Payroll_Data_Analysis[[#This Row],[Position]],Position_Map!$A$2:$B$58,2,FALSE)</f>
        <v>Professional</v>
      </c>
      <c r="E617" s="6">
        <v>1</v>
      </c>
      <c r="F617" s="7">
        <v>81800</v>
      </c>
      <c r="G617" s="7">
        <v>60000</v>
      </c>
      <c r="H617" s="7"/>
      <c r="I617" s="7">
        <f>dataset!$F617-dataset!$J617-dataset!$G617-dataset!$H617</f>
        <v>17000</v>
      </c>
      <c r="J617" s="7">
        <f>dataset!$G617*0.08</f>
        <v>4800</v>
      </c>
      <c r="K617" s="7">
        <f>dataset!$F617*12</f>
        <v>981600</v>
      </c>
      <c r="L617" s="12">
        <f>IF(dataset!$G617&gt;=200000,38%,IF(dataset!$G617&lt;=145000,12.3%,))</f>
        <v>0.12300000000000001</v>
      </c>
      <c r="M617" s="7">
        <f>dataset!$G617*L618*12</f>
        <v>88560.000000000015</v>
      </c>
      <c r="N617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17" s="7">
        <f>dataset!$K617+dataset!$M617</f>
        <v>1070160</v>
      </c>
      <c r="P617" s="7">
        <f>Payroll_Data_Analysis[[#This Row],[Annual Salary + KPI Bonus]]/12/29.3*31</f>
        <v>94354.266211604088</v>
      </c>
      <c r="Q617" s="7">
        <f>IF(Payroll_Data_Analysis[[#This Row],[Vacation Reserve]]&lt;=2979000,Payroll_Data_Analysis[[#This Row],[Vacation Reserve]]*0.302,2979000*0.302+(Payroll_Data_Analysis[[#This Row],[Vacation Reserve]]-2979000)*0.151)</f>
        <v>28494.988395904435</v>
      </c>
      <c r="R617" s="7">
        <f>Payroll_Data_Analysis[[#This Row],[Monthly Salary]]*11</f>
        <v>899800</v>
      </c>
      <c r="S617" s="7">
        <f>IF(Payroll_Data_Analysis[[#This Row],[11-Month Salary]]&lt;=2979000,Payroll_Data_Analysis[[#This Row],[11-Month Salary]]*0.302,2979000*0.302+(Payroll_Data_Analysis[[#This Row],[11-Month Salary]]-2979000)*0.151)</f>
        <v>271739.59999999998</v>
      </c>
      <c r="T617" s="7">
        <f>IF(Payroll_Data_Analysis[[#This Row],[Base Salary (Monthly)]]&gt;=200000,69507,IF(Payroll_Data_Analysis[[#This Row],[Base Salary (Monthly)]]&gt;=145000,52684,35103))</f>
        <v>35103</v>
      </c>
      <c r="U617" s="7">
        <f>Payroll_Data_Analysis[[#This Row],[Annual KPI Bonus Reserve]]+Payroll_Data_Analysis[[#This Row],[Vacation Reserve]]+Payroll_Data_Analysis[[#This Row],[11-Month Salary]]</f>
        <v>1082714.2662116042</v>
      </c>
      <c r="V617" s="7">
        <f>Payroll_Data_Analysis[[#This Row],[Payroll Taxes (KPI Bonus)]]+Payroll_Data_Analysis[[#This Row],[Payroll Taxes (Vacation)]]+Payroll_Data_Analysis[[#This Row],[Payroll Taxes (Salary)]]</f>
        <v>326979.7083959044</v>
      </c>
      <c r="W617" s="13">
        <f>Payroll_Data_Analysis[[#This Row],[Total Payroll]]+Payroll_Data_Analysis[[#This Row],[Total Payroll Taxes]]</f>
        <v>1409693.9746075086</v>
      </c>
    </row>
    <row r="618" spans="1:23">
      <c r="A618" s="11" t="s">
        <v>678</v>
      </c>
      <c r="B618" s="5" t="s">
        <v>621</v>
      </c>
      <c r="C618" s="5" t="s">
        <v>708</v>
      </c>
      <c r="D618" s="28" t="str">
        <f>VLOOKUP(Payroll_Data_Analysis[[#This Row],[Position]],Position_Map!$A$2:$B$58,2,FALSE)</f>
        <v>Professional</v>
      </c>
      <c r="E618" s="6">
        <v>1</v>
      </c>
      <c r="F618" s="7">
        <v>116400</v>
      </c>
      <c r="G618" s="7">
        <v>80000</v>
      </c>
      <c r="H618" s="7"/>
      <c r="I618" s="7">
        <f>dataset!$F618-dataset!$J618-dataset!$G618-dataset!$H618</f>
        <v>30000</v>
      </c>
      <c r="J618" s="7">
        <f>dataset!$G618*0.08</f>
        <v>6400</v>
      </c>
      <c r="K618" s="7">
        <f>dataset!$F618*12</f>
        <v>1396800</v>
      </c>
      <c r="L618" s="12">
        <f>IF(dataset!$G618&gt;=200000,38%,IF(dataset!$G618&lt;=145000,12.3%,))</f>
        <v>0.12300000000000001</v>
      </c>
      <c r="M618" s="7">
        <f>dataset!$G618*L619*12</f>
        <v>118080.00000000003</v>
      </c>
      <c r="N618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18" s="7">
        <f>dataset!$K618+dataset!$M618</f>
        <v>1514880</v>
      </c>
      <c r="P618" s="7">
        <f>Payroll_Data_Analysis[[#This Row],[Annual Salary + KPI Bonus]]/12/29.3*31</f>
        <v>133564.50511945394</v>
      </c>
      <c r="Q618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618" s="7">
        <f>Payroll_Data_Analysis[[#This Row],[Monthly Salary]]*11</f>
        <v>1280400</v>
      </c>
      <c r="S618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618" s="7">
        <f>IF(Payroll_Data_Analysis[[#This Row],[Base Salary (Monthly)]]&gt;=200000,69507,IF(Payroll_Data_Analysis[[#This Row],[Base Salary (Monthly)]]&gt;=145000,52684,35103))</f>
        <v>35103</v>
      </c>
      <c r="U618" s="7">
        <f>Payroll_Data_Analysis[[#This Row],[Annual KPI Bonus Reserve]]+Payroll_Data_Analysis[[#This Row],[Vacation Reserve]]+Payroll_Data_Analysis[[#This Row],[11-Month Salary]]</f>
        <v>1532044.5051194539</v>
      </c>
      <c r="V618" s="7">
        <f>Payroll_Data_Analysis[[#This Row],[Payroll Taxes (KPI Bonus)]]+Payroll_Data_Analysis[[#This Row],[Payroll Taxes (Vacation)]]+Payroll_Data_Analysis[[#This Row],[Payroll Taxes (Salary)]]</f>
        <v>462677.44054607511</v>
      </c>
      <c r="W618" s="13">
        <f>Payroll_Data_Analysis[[#This Row],[Total Payroll]]+Payroll_Data_Analysis[[#This Row],[Total Payroll Taxes]]</f>
        <v>1994721.945665529</v>
      </c>
    </row>
    <row r="619" spans="1:23">
      <c r="A619" s="11" t="s">
        <v>678</v>
      </c>
      <c r="B619" s="5" t="s">
        <v>622</v>
      </c>
      <c r="C619" s="5" t="s">
        <v>705</v>
      </c>
      <c r="D619" s="28" t="str">
        <f>VLOOKUP(Payroll_Data_Analysis[[#This Row],[Position]],Position_Map!$A$2:$B$58,2,FALSE)</f>
        <v>Professional</v>
      </c>
      <c r="E619" s="6">
        <v>1</v>
      </c>
      <c r="F619" s="7">
        <v>126400</v>
      </c>
      <c r="G619" s="7">
        <v>80000</v>
      </c>
      <c r="H619" s="7"/>
      <c r="I619" s="7">
        <f>dataset!$F619-dataset!$J619-dataset!$G619-dataset!$H619</f>
        <v>40000</v>
      </c>
      <c r="J619" s="7">
        <f>dataset!$G619*0.08</f>
        <v>6400</v>
      </c>
      <c r="K619" s="7">
        <f>dataset!$F619*12</f>
        <v>1516800</v>
      </c>
      <c r="L619" s="12">
        <f>IF(dataset!$G619&gt;=200000,38%,IF(dataset!$G619&lt;=145000,12.3%,))</f>
        <v>0.12300000000000001</v>
      </c>
      <c r="M619" s="7">
        <f>dataset!$G619*L620*12</f>
        <v>118080.00000000003</v>
      </c>
      <c r="N619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19" s="7">
        <f>dataset!$K619+dataset!$M619</f>
        <v>1634880</v>
      </c>
      <c r="P619" s="7">
        <f>Payroll_Data_Analysis[[#This Row],[Annual Salary + KPI Bonus]]/12/29.3*31</f>
        <v>144144.70989761094</v>
      </c>
      <c r="Q619" s="7">
        <f>IF(Payroll_Data_Analysis[[#This Row],[Vacation Reserve]]&lt;=2979000,Payroll_Data_Analysis[[#This Row],[Vacation Reserve]]*0.302,2979000*0.302+(Payroll_Data_Analysis[[#This Row],[Vacation Reserve]]-2979000)*0.151)</f>
        <v>43531.702389078506</v>
      </c>
      <c r="R619" s="7">
        <f>Payroll_Data_Analysis[[#This Row],[Monthly Salary]]*11</f>
        <v>1390400</v>
      </c>
      <c r="S619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619" s="7">
        <f>IF(Payroll_Data_Analysis[[#This Row],[Base Salary (Monthly)]]&gt;=200000,69507,IF(Payroll_Data_Analysis[[#This Row],[Base Salary (Monthly)]]&gt;=145000,52684,35103))</f>
        <v>35103</v>
      </c>
      <c r="U619" s="7">
        <f>Payroll_Data_Analysis[[#This Row],[Annual KPI Bonus Reserve]]+Payroll_Data_Analysis[[#This Row],[Vacation Reserve]]+Payroll_Data_Analysis[[#This Row],[11-Month Salary]]</f>
        <v>1652624.7098976108</v>
      </c>
      <c r="V619" s="7">
        <f>Payroll_Data_Analysis[[#This Row],[Payroll Taxes (KPI Bonus)]]+Payroll_Data_Analysis[[#This Row],[Payroll Taxes (Vacation)]]+Payroll_Data_Analysis[[#This Row],[Payroll Taxes (Salary)]]</f>
        <v>499092.66238907853</v>
      </c>
      <c r="W619" s="13">
        <f>Payroll_Data_Analysis[[#This Row],[Total Payroll]]+Payroll_Data_Analysis[[#This Row],[Total Payroll Taxes]]</f>
        <v>2151717.3722866895</v>
      </c>
    </row>
    <row r="620" spans="1:23">
      <c r="A620" s="11" t="s">
        <v>678</v>
      </c>
      <c r="B620" s="5" t="s">
        <v>623</v>
      </c>
      <c r="C620" s="5" t="s">
        <v>710</v>
      </c>
      <c r="D620" s="28" t="str">
        <f>VLOOKUP(Payroll_Data_Analysis[[#This Row],[Position]],Position_Map!$A$2:$B$58,2,FALSE)</f>
        <v>Professional</v>
      </c>
      <c r="E620" s="6">
        <v>1</v>
      </c>
      <c r="F620" s="7">
        <v>104800</v>
      </c>
      <c r="G620" s="7">
        <v>60000</v>
      </c>
      <c r="H620" s="7"/>
      <c r="I620" s="7">
        <f>dataset!$F620-dataset!$J620-dataset!$G620-dataset!$H620</f>
        <v>40000</v>
      </c>
      <c r="J620" s="7">
        <f>dataset!$G620*0.08</f>
        <v>4800</v>
      </c>
      <c r="K620" s="7">
        <f>dataset!$F620*12</f>
        <v>1257600</v>
      </c>
      <c r="L620" s="12">
        <f>IF(dataset!$G620&gt;=200000,38%,IF(dataset!$G620&lt;=145000,12.3%,))</f>
        <v>0.12300000000000001</v>
      </c>
      <c r="M620" s="7">
        <f>dataset!$G620*L621*12</f>
        <v>88560.000000000015</v>
      </c>
      <c r="N620" s="7">
        <f>IF(Payroll_Data_Analysis[[#This Row],[Annual KPI Bonus Reserve]]&lt;=2979000,Payroll_Data_Analysis[[#This Row],[Annual KPI Bonus Reserve]]*0.302,2979000*0.302+(Payroll_Data_Analysis[[#This Row],[Annual KPI Bonus Reserve]]-2979000)*0.151)</f>
        <v>26745.120000000003</v>
      </c>
      <c r="O620" s="7">
        <f>dataset!$K620+dataset!$M620</f>
        <v>1346160</v>
      </c>
      <c r="P620" s="7">
        <f>Payroll_Data_Analysis[[#This Row],[Annual Salary + KPI Bonus]]/12/29.3*31</f>
        <v>118688.73720136518</v>
      </c>
      <c r="Q620" s="7">
        <f>IF(Payroll_Data_Analysis[[#This Row],[Vacation Reserve]]&lt;=2979000,Payroll_Data_Analysis[[#This Row],[Vacation Reserve]]*0.302,2979000*0.302+(Payroll_Data_Analysis[[#This Row],[Vacation Reserve]]-2979000)*0.151)</f>
        <v>35843.998634812284</v>
      </c>
      <c r="R620" s="7">
        <f>Payroll_Data_Analysis[[#This Row],[Monthly Salary]]*11</f>
        <v>1152800</v>
      </c>
      <c r="S620" s="7">
        <f>IF(Payroll_Data_Analysis[[#This Row],[11-Month Salary]]&lt;=2979000,Payroll_Data_Analysis[[#This Row],[11-Month Salary]]*0.302,2979000*0.302+(Payroll_Data_Analysis[[#This Row],[11-Month Salary]]-2979000)*0.151)</f>
        <v>348145.6</v>
      </c>
      <c r="T620" s="7">
        <f>IF(Payroll_Data_Analysis[[#This Row],[Base Salary (Monthly)]]&gt;=200000,69507,IF(Payroll_Data_Analysis[[#This Row],[Base Salary (Monthly)]]&gt;=145000,52684,35103))</f>
        <v>35103</v>
      </c>
      <c r="U620" s="7">
        <f>Payroll_Data_Analysis[[#This Row],[Annual KPI Bonus Reserve]]+Payroll_Data_Analysis[[#This Row],[Vacation Reserve]]+Payroll_Data_Analysis[[#This Row],[11-Month Salary]]</f>
        <v>1360048.7372013652</v>
      </c>
      <c r="V620" s="7">
        <f>Payroll_Data_Analysis[[#This Row],[Payroll Taxes (KPI Bonus)]]+Payroll_Data_Analysis[[#This Row],[Payroll Taxes (Vacation)]]+Payroll_Data_Analysis[[#This Row],[Payroll Taxes (Salary)]]</f>
        <v>410734.71863481228</v>
      </c>
      <c r="W620" s="13">
        <f>Payroll_Data_Analysis[[#This Row],[Total Payroll]]+Payroll_Data_Analysis[[#This Row],[Total Payroll Taxes]]</f>
        <v>1770783.4558361773</v>
      </c>
    </row>
    <row r="621" spans="1:23">
      <c r="A621" s="11" t="s">
        <v>679</v>
      </c>
      <c r="B621" s="5" t="s">
        <v>624</v>
      </c>
      <c r="C621" s="5" t="s">
        <v>703</v>
      </c>
      <c r="D621" s="28" t="str">
        <f>VLOOKUP(Payroll_Data_Analysis[[#This Row],[Position]],Position_Map!$A$2:$B$58,2,FALSE)</f>
        <v>Management</v>
      </c>
      <c r="E621" s="6">
        <v>1</v>
      </c>
      <c r="F621" s="7">
        <v>271600</v>
      </c>
      <c r="G621" s="7">
        <v>145000</v>
      </c>
      <c r="H621" s="7"/>
      <c r="I621" s="7">
        <f>dataset!$F621-dataset!$J621-dataset!$G621-dataset!$H621</f>
        <v>115000</v>
      </c>
      <c r="J621" s="7">
        <f>dataset!$G621*0.08</f>
        <v>11600</v>
      </c>
      <c r="K621" s="7">
        <f>dataset!$F621*12</f>
        <v>3259200</v>
      </c>
      <c r="L621" s="12">
        <f>IF(dataset!$G621&gt;=200000,38%,IF(dataset!$G621&lt;=145000,12.3%,))</f>
        <v>0.12300000000000001</v>
      </c>
      <c r="M621" s="7">
        <f>dataset!$G621*L622*12</f>
        <v>214020</v>
      </c>
      <c r="N621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21" s="7">
        <f>dataset!$K621+dataset!$M621</f>
        <v>3473220</v>
      </c>
      <c r="P621" s="7">
        <f>Payroll_Data_Analysis[[#This Row],[Annual Salary + KPI Bonus]]/12/29.3*31</f>
        <v>306228.15699658706</v>
      </c>
      <c r="Q621" s="7">
        <f>IF(Payroll_Data_Analysis[[#This Row],[Vacation Reserve]]&lt;=2979000,Payroll_Data_Analysis[[#This Row],[Vacation Reserve]]*0.302,2979000*0.302+(Payroll_Data_Analysis[[#This Row],[Vacation Reserve]]-2979000)*0.151)</f>
        <v>92480.903412969288</v>
      </c>
      <c r="R621" s="7">
        <f>Payroll_Data_Analysis[[#This Row],[Monthly Salary]]*11</f>
        <v>2987600</v>
      </c>
      <c r="S621" s="7">
        <f>IF(Payroll_Data_Analysis[[#This Row],[11-Month Salary]]&lt;=2979000,Payroll_Data_Analysis[[#This Row],[11-Month Salary]]*0.302,2979000*0.302+(Payroll_Data_Analysis[[#This Row],[11-Month Salary]]-2979000)*0.151)</f>
        <v>900956.6</v>
      </c>
      <c r="T621" s="7">
        <f>IF(Payroll_Data_Analysis[[#This Row],[Base Salary (Monthly)]]&gt;=200000,69507,IF(Payroll_Data_Analysis[[#This Row],[Base Salary (Monthly)]]&gt;=145000,52684,35103))</f>
        <v>52684</v>
      </c>
      <c r="U621" s="7">
        <f>Payroll_Data_Analysis[[#This Row],[Annual KPI Bonus Reserve]]+Payroll_Data_Analysis[[#This Row],[Vacation Reserve]]+Payroll_Data_Analysis[[#This Row],[11-Month Salary]]</f>
        <v>3507848.1569965873</v>
      </c>
      <c r="V621" s="7">
        <f>Payroll_Data_Analysis[[#This Row],[Payroll Taxes (KPI Bonus)]]+Payroll_Data_Analysis[[#This Row],[Payroll Taxes (Vacation)]]+Payroll_Data_Analysis[[#This Row],[Payroll Taxes (Salary)]]</f>
        <v>1058071.5434129692</v>
      </c>
      <c r="W621" s="13">
        <f>Payroll_Data_Analysis[[#This Row],[Total Payroll]]+Payroll_Data_Analysis[[#This Row],[Total Payroll Taxes]]</f>
        <v>4565919.7004095567</v>
      </c>
    </row>
    <row r="622" spans="1:23">
      <c r="A622" s="11" t="s">
        <v>679</v>
      </c>
      <c r="B622" s="5" t="s">
        <v>625</v>
      </c>
      <c r="C622" s="5" t="s">
        <v>704</v>
      </c>
      <c r="D622" s="28" t="str">
        <f>VLOOKUP(Payroll_Data_Analysis[[#This Row],[Position]],Position_Map!$A$2:$B$58,2,FALSE)</f>
        <v>Management</v>
      </c>
      <c r="E622" s="6">
        <v>1</v>
      </c>
      <c r="F622" s="7">
        <v>186600</v>
      </c>
      <c r="G622" s="7">
        <v>145000</v>
      </c>
      <c r="H622" s="7"/>
      <c r="I622" s="7">
        <f>dataset!$F622-dataset!$J622-dataset!$G622-dataset!$H622</f>
        <v>30000</v>
      </c>
      <c r="J622" s="7">
        <f>dataset!$G622*0.08</f>
        <v>11600</v>
      </c>
      <c r="K622" s="7">
        <f>dataset!$F622*12</f>
        <v>2239200</v>
      </c>
      <c r="L622" s="12">
        <f>IF(dataset!$G622&gt;=200000,38%,IF(dataset!$G622&lt;=145000,12.3%,))</f>
        <v>0.12300000000000001</v>
      </c>
      <c r="M622" s="7">
        <f>dataset!$G622*L623*12</f>
        <v>214020</v>
      </c>
      <c r="N622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22" s="7">
        <f>dataset!$K622+dataset!$M622</f>
        <v>2453220</v>
      </c>
      <c r="P622" s="7">
        <f>Payroll_Data_Analysis[[#This Row],[Annual Salary + KPI Bonus]]/12/29.3*31</f>
        <v>216296.41638225256</v>
      </c>
      <c r="Q622" s="7">
        <f>IF(Payroll_Data_Analysis[[#This Row],[Vacation Reserve]]&lt;=2979000,Payroll_Data_Analysis[[#This Row],[Vacation Reserve]]*0.302,2979000*0.302+(Payroll_Data_Analysis[[#This Row],[Vacation Reserve]]-2979000)*0.151)</f>
        <v>65321.517747440274</v>
      </c>
      <c r="R622" s="7">
        <f>Payroll_Data_Analysis[[#This Row],[Monthly Salary]]*11</f>
        <v>2052600</v>
      </c>
      <c r="S622" s="7">
        <f>IF(Payroll_Data_Analysis[[#This Row],[11-Month Salary]]&lt;=2979000,Payroll_Data_Analysis[[#This Row],[11-Month Salary]]*0.302,2979000*0.302+(Payroll_Data_Analysis[[#This Row],[11-Month Salary]]-2979000)*0.151)</f>
        <v>619885.19999999995</v>
      </c>
      <c r="T622" s="7">
        <f>IF(Payroll_Data_Analysis[[#This Row],[Base Salary (Monthly)]]&gt;=200000,69507,IF(Payroll_Data_Analysis[[#This Row],[Base Salary (Monthly)]]&gt;=145000,52684,35103))</f>
        <v>52684</v>
      </c>
      <c r="U622" s="7">
        <f>Payroll_Data_Analysis[[#This Row],[Annual KPI Bonus Reserve]]+Payroll_Data_Analysis[[#This Row],[Vacation Reserve]]+Payroll_Data_Analysis[[#This Row],[11-Month Salary]]</f>
        <v>2482916.4163822527</v>
      </c>
      <c r="V622" s="7">
        <f>Payroll_Data_Analysis[[#This Row],[Payroll Taxes (KPI Bonus)]]+Payroll_Data_Analysis[[#This Row],[Payroll Taxes (Vacation)]]+Payroll_Data_Analysis[[#This Row],[Payroll Taxes (Salary)]]</f>
        <v>749840.75774744025</v>
      </c>
      <c r="W622" s="13">
        <f>Payroll_Data_Analysis[[#This Row],[Total Payroll]]+Payroll_Data_Analysis[[#This Row],[Total Payroll Taxes]]</f>
        <v>3232757.1741296928</v>
      </c>
    </row>
    <row r="623" spans="1:23">
      <c r="A623" s="11" t="s">
        <v>679</v>
      </c>
      <c r="B623" s="5" t="s">
        <v>626</v>
      </c>
      <c r="C623" s="5" t="s">
        <v>708</v>
      </c>
      <c r="D623" s="28" t="str">
        <f>VLOOKUP(Payroll_Data_Analysis[[#This Row],[Position]],Position_Map!$A$2:$B$58,2,FALSE)</f>
        <v>Professional</v>
      </c>
      <c r="E623" s="6">
        <v>1</v>
      </c>
      <c r="F623" s="7">
        <v>178000</v>
      </c>
      <c r="G623" s="7">
        <v>100000</v>
      </c>
      <c r="H623" s="7"/>
      <c r="I623" s="7">
        <f>dataset!$F623-dataset!$J623-dataset!$G623-dataset!$H623</f>
        <v>70000</v>
      </c>
      <c r="J623" s="7">
        <f>dataset!$G623*0.08</f>
        <v>8000</v>
      </c>
      <c r="K623" s="7">
        <f>dataset!$F623*12</f>
        <v>2136000</v>
      </c>
      <c r="L623" s="12">
        <f>IF(dataset!$G623&gt;=200000,38%,IF(dataset!$G623&lt;=145000,12.3%,))</f>
        <v>0.12300000000000001</v>
      </c>
      <c r="M623" s="7">
        <f>dataset!$G623*L624*12</f>
        <v>147600.00000000003</v>
      </c>
      <c r="N623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23" s="7">
        <f>dataset!$K623+dataset!$M623</f>
        <v>2283600</v>
      </c>
      <c r="P623" s="7">
        <f>Payroll_Data_Analysis[[#This Row],[Annual Salary + KPI Bonus]]/12/29.3*31</f>
        <v>201341.29692832765</v>
      </c>
      <c r="Q623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623" s="7">
        <f>Payroll_Data_Analysis[[#This Row],[Monthly Salary]]*11</f>
        <v>1958000</v>
      </c>
      <c r="S623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623" s="7">
        <f>IF(Payroll_Data_Analysis[[#This Row],[Base Salary (Monthly)]]&gt;=200000,69507,IF(Payroll_Data_Analysis[[#This Row],[Base Salary (Monthly)]]&gt;=145000,52684,35103))</f>
        <v>35103</v>
      </c>
      <c r="U623" s="7">
        <f>Payroll_Data_Analysis[[#This Row],[Annual KPI Bonus Reserve]]+Payroll_Data_Analysis[[#This Row],[Vacation Reserve]]+Payroll_Data_Analysis[[#This Row],[11-Month Salary]]</f>
        <v>2306941.2969283275</v>
      </c>
      <c r="V623" s="7">
        <f>Payroll_Data_Analysis[[#This Row],[Payroll Taxes (KPI Bonus)]]+Payroll_Data_Analysis[[#This Row],[Payroll Taxes (Vacation)]]+Payroll_Data_Analysis[[#This Row],[Payroll Taxes (Salary)]]</f>
        <v>696696.27167235501</v>
      </c>
      <c r="W623" s="13">
        <f>Payroll_Data_Analysis[[#This Row],[Total Payroll]]+Payroll_Data_Analysis[[#This Row],[Total Payroll Taxes]]</f>
        <v>3003637.5686006825</v>
      </c>
    </row>
    <row r="624" spans="1:23">
      <c r="A624" s="11" t="s">
        <v>679</v>
      </c>
      <c r="B624" s="5" t="s">
        <v>627</v>
      </c>
      <c r="C624" s="5" t="s">
        <v>708</v>
      </c>
      <c r="D624" s="28" t="str">
        <f>VLOOKUP(Payroll_Data_Analysis[[#This Row],[Position]],Position_Map!$A$2:$B$58,2,FALSE)</f>
        <v>Professional</v>
      </c>
      <c r="E624" s="6">
        <v>1</v>
      </c>
      <c r="F624" s="7">
        <v>178000</v>
      </c>
      <c r="G624" s="7">
        <v>100000</v>
      </c>
      <c r="H624" s="7"/>
      <c r="I624" s="7">
        <f>dataset!$F624-dataset!$J624-dataset!$G624-dataset!$H624</f>
        <v>70000</v>
      </c>
      <c r="J624" s="7">
        <f>dataset!$G624*0.08</f>
        <v>8000</v>
      </c>
      <c r="K624" s="7">
        <f>dataset!$F624*12</f>
        <v>2136000</v>
      </c>
      <c r="L624" s="12">
        <f>IF(dataset!$G624&gt;=200000,38%,IF(dataset!$G624&lt;=145000,12.3%,))</f>
        <v>0.12300000000000001</v>
      </c>
      <c r="M624" s="7">
        <f>dataset!$G624*L625*12</f>
        <v>147600.00000000003</v>
      </c>
      <c r="N624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24" s="7">
        <f>dataset!$K624+dataset!$M624</f>
        <v>2283600</v>
      </c>
      <c r="P624" s="7">
        <f>Payroll_Data_Analysis[[#This Row],[Annual Salary + KPI Bonus]]/12/29.3*31</f>
        <v>201341.29692832765</v>
      </c>
      <c r="Q624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624" s="7">
        <f>Payroll_Data_Analysis[[#This Row],[Monthly Salary]]*11</f>
        <v>1958000</v>
      </c>
      <c r="S624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624" s="7">
        <f>IF(Payroll_Data_Analysis[[#This Row],[Base Salary (Monthly)]]&gt;=200000,69507,IF(Payroll_Data_Analysis[[#This Row],[Base Salary (Monthly)]]&gt;=145000,52684,35103))</f>
        <v>35103</v>
      </c>
      <c r="U624" s="7">
        <f>Payroll_Data_Analysis[[#This Row],[Annual KPI Bonus Reserve]]+Payroll_Data_Analysis[[#This Row],[Vacation Reserve]]+Payroll_Data_Analysis[[#This Row],[11-Month Salary]]</f>
        <v>2306941.2969283275</v>
      </c>
      <c r="V624" s="7">
        <f>Payroll_Data_Analysis[[#This Row],[Payroll Taxes (KPI Bonus)]]+Payroll_Data_Analysis[[#This Row],[Payroll Taxes (Vacation)]]+Payroll_Data_Analysis[[#This Row],[Payroll Taxes (Salary)]]</f>
        <v>696696.27167235501</v>
      </c>
      <c r="W624" s="13">
        <f>Payroll_Data_Analysis[[#This Row],[Total Payroll]]+Payroll_Data_Analysis[[#This Row],[Total Payroll Taxes]]</f>
        <v>3003637.5686006825</v>
      </c>
    </row>
    <row r="625" spans="1:23">
      <c r="A625" s="11" t="s">
        <v>679</v>
      </c>
      <c r="B625" s="5" t="s">
        <v>628</v>
      </c>
      <c r="C625" s="5" t="s">
        <v>708</v>
      </c>
      <c r="D625" s="28" t="str">
        <f>VLOOKUP(Payroll_Data_Analysis[[#This Row],[Position]],Position_Map!$A$2:$B$58,2,FALSE)</f>
        <v>Professional</v>
      </c>
      <c r="E625" s="6">
        <v>1</v>
      </c>
      <c r="F625" s="7">
        <v>178000</v>
      </c>
      <c r="G625" s="7">
        <v>100000</v>
      </c>
      <c r="H625" s="7"/>
      <c r="I625" s="7">
        <f>dataset!$F625-dataset!$J625-dataset!$G625-dataset!$H625</f>
        <v>70000</v>
      </c>
      <c r="J625" s="7">
        <f>dataset!$G625*0.08</f>
        <v>8000</v>
      </c>
      <c r="K625" s="7">
        <f>dataset!$F625*12</f>
        <v>2136000</v>
      </c>
      <c r="L625" s="12">
        <f>IF(dataset!$G625&gt;=200000,38%,IF(dataset!$G625&lt;=145000,12.3%,))</f>
        <v>0.12300000000000001</v>
      </c>
      <c r="M625" s="7">
        <f>dataset!$G625*L626*12</f>
        <v>147600.00000000003</v>
      </c>
      <c r="N62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25" s="7">
        <f>dataset!$K625+dataset!$M625</f>
        <v>2283600</v>
      </c>
      <c r="P625" s="7">
        <f>Payroll_Data_Analysis[[#This Row],[Annual Salary + KPI Bonus]]/12/29.3*31</f>
        <v>201341.29692832765</v>
      </c>
      <c r="Q625" s="7">
        <f>IF(Payroll_Data_Analysis[[#This Row],[Vacation Reserve]]&lt;=2979000,Payroll_Data_Analysis[[#This Row],[Vacation Reserve]]*0.302,2979000*0.302+(Payroll_Data_Analysis[[#This Row],[Vacation Reserve]]-2979000)*0.151)</f>
        <v>60805.071672354949</v>
      </c>
      <c r="R625" s="7">
        <f>Payroll_Data_Analysis[[#This Row],[Monthly Salary]]*11</f>
        <v>1958000</v>
      </c>
      <c r="S625" s="7">
        <f>IF(Payroll_Data_Analysis[[#This Row],[11-Month Salary]]&lt;=2979000,Payroll_Data_Analysis[[#This Row],[11-Month Salary]]*0.302,2979000*0.302+(Payroll_Data_Analysis[[#This Row],[11-Month Salary]]-2979000)*0.151)</f>
        <v>591316</v>
      </c>
      <c r="T625" s="7">
        <f>IF(Payroll_Data_Analysis[[#This Row],[Base Salary (Monthly)]]&gt;=200000,69507,IF(Payroll_Data_Analysis[[#This Row],[Base Salary (Monthly)]]&gt;=145000,52684,35103))</f>
        <v>35103</v>
      </c>
      <c r="U625" s="7">
        <f>Payroll_Data_Analysis[[#This Row],[Annual KPI Bonus Reserve]]+Payroll_Data_Analysis[[#This Row],[Vacation Reserve]]+Payroll_Data_Analysis[[#This Row],[11-Month Salary]]</f>
        <v>2306941.2969283275</v>
      </c>
      <c r="V625" s="7">
        <f>Payroll_Data_Analysis[[#This Row],[Payroll Taxes (KPI Bonus)]]+Payroll_Data_Analysis[[#This Row],[Payroll Taxes (Vacation)]]+Payroll_Data_Analysis[[#This Row],[Payroll Taxes (Salary)]]</f>
        <v>696696.27167235501</v>
      </c>
      <c r="W625" s="13">
        <f>Payroll_Data_Analysis[[#This Row],[Total Payroll]]+Payroll_Data_Analysis[[#This Row],[Total Payroll Taxes]]</f>
        <v>3003637.5686006825</v>
      </c>
    </row>
    <row r="626" spans="1:23">
      <c r="A626" s="11" t="s">
        <v>679</v>
      </c>
      <c r="B626" s="5" t="s">
        <v>629</v>
      </c>
      <c r="C626" s="5" t="s">
        <v>705</v>
      </c>
      <c r="D626" s="28" t="str">
        <f>VLOOKUP(Payroll_Data_Analysis[[#This Row],[Position]],Position_Map!$A$2:$B$58,2,FALSE)</f>
        <v>Professional</v>
      </c>
      <c r="E626" s="6">
        <v>1</v>
      </c>
      <c r="F626" s="7">
        <v>126400</v>
      </c>
      <c r="G626" s="7">
        <v>100000</v>
      </c>
      <c r="H626" s="7"/>
      <c r="I626" s="7">
        <f>dataset!$F626-dataset!$J626-dataset!$G626-dataset!$H626</f>
        <v>18400</v>
      </c>
      <c r="J626" s="7">
        <f>dataset!$G626*0.08</f>
        <v>8000</v>
      </c>
      <c r="K626" s="7">
        <f>dataset!$F626*12</f>
        <v>1516800</v>
      </c>
      <c r="L626" s="12">
        <f>IF(dataset!$G626&gt;=200000,38%,IF(dataset!$G626&lt;=145000,12.3%,))</f>
        <v>0.12300000000000001</v>
      </c>
      <c r="M626" s="7">
        <f>dataset!$G626*L627*12</f>
        <v>147600.00000000003</v>
      </c>
      <c r="N626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26" s="7">
        <f>dataset!$K626+dataset!$M626</f>
        <v>1664400</v>
      </c>
      <c r="P626" s="7">
        <f>Payroll_Data_Analysis[[#This Row],[Annual Salary + KPI Bonus]]/12/29.3*31</f>
        <v>146747.44027303753</v>
      </c>
      <c r="Q626" s="7">
        <f>IF(Payroll_Data_Analysis[[#This Row],[Vacation Reserve]]&lt;=2979000,Payroll_Data_Analysis[[#This Row],[Vacation Reserve]]*0.302,2979000*0.302+(Payroll_Data_Analysis[[#This Row],[Vacation Reserve]]-2979000)*0.151)</f>
        <v>44317.726962457331</v>
      </c>
      <c r="R626" s="7">
        <f>Payroll_Data_Analysis[[#This Row],[Monthly Salary]]*11</f>
        <v>1390400</v>
      </c>
      <c r="S626" s="7">
        <f>IF(Payroll_Data_Analysis[[#This Row],[11-Month Salary]]&lt;=2979000,Payroll_Data_Analysis[[#This Row],[11-Month Salary]]*0.302,2979000*0.302+(Payroll_Data_Analysis[[#This Row],[11-Month Salary]]-2979000)*0.151)</f>
        <v>419900.8</v>
      </c>
      <c r="T626" s="7">
        <f>IF(Payroll_Data_Analysis[[#This Row],[Base Salary (Monthly)]]&gt;=200000,69507,IF(Payroll_Data_Analysis[[#This Row],[Base Salary (Monthly)]]&gt;=145000,52684,35103))</f>
        <v>35103</v>
      </c>
      <c r="U626" s="7">
        <f>Payroll_Data_Analysis[[#This Row],[Annual KPI Bonus Reserve]]+Payroll_Data_Analysis[[#This Row],[Vacation Reserve]]+Payroll_Data_Analysis[[#This Row],[11-Month Salary]]</f>
        <v>1684747.4402730376</v>
      </c>
      <c r="V626" s="7">
        <f>Payroll_Data_Analysis[[#This Row],[Payroll Taxes (KPI Bonus)]]+Payroll_Data_Analysis[[#This Row],[Payroll Taxes (Vacation)]]+Payroll_Data_Analysis[[#This Row],[Payroll Taxes (Salary)]]</f>
        <v>508793.72696245729</v>
      </c>
      <c r="W626" s="13">
        <f>Payroll_Data_Analysis[[#This Row],[Total Payroll]]+Payroll_Data_Analysis[[#This Row],[Total Payroll Taxes]]</f>
        <v>2193541.1672354951</v>
      </c>
    </row>
    <row r="627" spans="1:23">
      <c r="A627" s="11" t="s">
        <v>679</v>
      </c>
      <c r="B627" s="5" t="s">
        <v>630</v>
      </c>
      <c r="C627" s="5" t="s">
        <v>705</v>
      </c>
      <c r="D627" s="28" t="str">
        <f>VLOOKUP(Payroll_Data_Analysis[[#This Row],[Position]],Position_Map!$A$2:$B$58,2,FALSE)</f>
        <v>Professional</v>
      </c>
      <c r="E627" s="6">
        <v>1</v>
      </c>
      <c r="F627" s="7">
        <v>148000</v>
      </c>
      <c r="G627" s="7">
        <v>100000</v>
      </c>
      <c r="H627" s="7"/>
      <c r="I627" s="7">
        <f>dataset!$F627-dataset!$J627-dataset!$G627-dataset!$H627</f>
        <v>40000</v>
      </c>
      <c r="J627" s="7">
        <f>dataset!$G627*0.08</f>
        <v>8000</v>
      </c>
      <c r="K627" s="7">
        <f>dataset!$F627*12</f>
        <v>1776000</v>
      </c>
      <c r="L627" s="12">
        <f>IF(dataset!$G627&gt;=200000,38%,IF(dataset!$G627&lt;=145000,12.3%,))</f>
        <v>0.12300000000000001</v>
      </c>
      <c r="M627" s="7">
        <f>dataset!$G627*L628*12</f>
        <v>456000</v>
      </c>
      <c r="N627" s="7">
        <f>IF(Payroll_Data_Analysis[[#This Row],[Annual KPI Bonus Reserve]]&lt;=2979000,Payroll_Data_Analysis[[#This Row],[Annual KPI Bonus Reserve]]*0.302,2979000*0.302+(Payroll_Data_Analysis[[#This Row],[Annual KPI Bonus Reserve]]-2979000)*0.151)</f>
        <v>137712</v>
      </c>
      <c r="O627" s="7">
        <f>dataset!$K627+dataset!$M627</f>
        <v>2232000</v>
      </c>
      <c r="P627" s="7">
        <f>Payroll_Data_Analysis[[#This Row],[Annual Salary + KPI Bonus]]/12/29.3*31</f>
        <v>196791.80887372012</v>
      </c>
      <c r="Q627" s="7">
        <f>IF(Payroll_Data_Analysis[[#This Row],[Vacation Reserve]]&lt;=2979000,Payroll_Data_Analysis[[#This Row],[Vacation Reserve]]*0.302,2979000*0.302+(Payroll_Data_Analysis[[#This Row],[Vacation Reserve]]-2979000)*0.151)</f>
        <v>59431.126279863471</v>
      </c>
      <c r="R627" s="7">
        <f>Payroll_Data_Analysis[[#This Row],[Monthly Salary]]*11</f>
        <v>1628000</v>
      </c>
      <c r="S627" s="7">
        <f>IF(Payroll_Data_Analysis[[#This Row],[11-Month Salary]]&lt;=2979000,Payroll_Data_Analysis[[#This Row],[11-Month Salary]]*0.302,2979000*0.302+(Payroll_Data_Analysis[[#This Row],[11-Month Salary]]-2979000)*0.151)</f>
        <v>491656</v>
      </c>
      <c r="T627" s="7">
        <f>IF(Payroll_Data_Analysis[[#This Row],[Base Salary (Monthly)]]&gt;=200000,69507,IF(Payroll_Data_Analysis[[#This Row],[Base Salary (Monthly)]]&gt;=145000,52684,35103))</f>
        <v>35103</v>
      </c>
      <c r="U627" s="7">
        <f>Payroll_Data_Analysis[[#This Row],[Annual KPI Bonus Reserve]]+Payroll_Data_Analysis[[#This Row],[Vacation Reserve]]+Payroll_Data_Analysis[[#This Row],[11-Month Salary]]</f>
        <v>2280791.80887372</v>
      </c>
      <c r="V627" s="7">
        <f>Payroll_Data_Analysis[[#This Row],[Payroll Taxes (KPI Bonus)]]+Payroll_Data_Analysis[[#This Row],[Payroll Taxes (Vacation)]]+Payroll_Data_Analysis[[#This Row],[Payroll Taxes (Salary)]]</f>
        <v>688799.12627986353</v>
      </c>
      <c r="W627" s="13">
        <f>Payroll_Data_Analysis[[#This Row],[Total Payroll]]+Payroll_Data_Analysis[[#This Row],[Total Payroll Taxes]]</f>
        <v>2969590.9351535835</v>
      </c>
    </row>
    <row r="628" spans="1:23">
      <c r="A628" s="11" t="s">
        <v>680</v>
      </c>
      <c r="B628" s="5" t="s">
        <v>631</v>
      </c>
      <c r="C628" s="5" t="s">
        <v>703</v>
      </c>
      <c r="D628" s="28" t="str">
        <f>VLOOKUP(Payroll_Data_Analysis[[#This Row],[Position]],Position_Map!$A$2:$B$58,2,FALSE)</f>
        <v>Management</v>
      </c>
      <c r="E628" s="6">
        <v>1</v>
      </c>
      <c r="F628" s="7">
        <v>318000</v>
      </c>
      <c r="G628" s="7">
        <v>200000</v>
      </c>
      <c r="H628" s="7"/>
      <c r="I628" s="7">
        <f>dataset!$F628-dataset!$J628-dataset!$G628-dataset!$H628</f>
        <v>102000</v>
      </c>
      <c r="J628" s="7">
        <f>dataset!$G628*0.08</f>
        <v>16000</v>
      </c>
      <c r="K628" s="7">
        <f>dataset!$F628*12</f>
        <v>3816000</v>
      </c>
      <c r="L628" s="12">
        <f>IF(dataset!$G628&gt;=200000,38%,IF(dataset!$G628&lt;=145000,12.3%,))</f>
        <v>0.38</v>
      </c>
      <c r="M628" s="7">
        <f>dataset!$G628*L629*12</f>
        <v>912000</v>
      </c>
      <c r="N628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628" s="7">
        <f>dataset!$K628+dataset!$M628</f>
        <v>4728000</v>
      </c>
      <c r="P628" s="7">
        <f>Payroll_Data_Analysis[[#This Row],[Annual Salary + KPI Bonus]]/12/29.3*31</f>
        <v>416860.06825938565</v>
      </c>
      <c r="Q628" s="7">
        <f>IF(Payroll_Data_Analysis[[#This Row],[Vacation Reserve]]&lt;=2979000,Payroll_Data_Analysis[[#This Row],[Vacation Reserve]]*0.302,2979000*0.302+(Payroll_Data_Analysis[[#This Row],[Vacation Reserve]]-2979000)*0.151)</f>
        <v>125891.74061433446</v>
      </c>
      <c r="R628" s="7">
        <f>Payroll_Data_Analysis[[#This Row],[Monthly Salary]]*11</f>
        <v>3498000</v>
      </c>
      <c r="S628" s="7">
        <f>IF(Payroll_Data_Analysis[[#This Row],[11-Month Salary]]&lt;=2979000,Payroll_Data_Analysis[[#This Row],[11-Month Salary]]*0.302,2979000*0.302+(Payroll_Data_Analysis[[#This Row],[11-Month Salary]]-2979000)*0.151)</f>
        <v>978027</v>
      </c>
      <c r="T628" s="7">
        <f>IF(Payroll_Data_Analysis[[#This Row],[Base Salary (Monthly)]]&gt;=200000,69507,IF(Payroll_Data_Analysis[[#This Row],[Base Salary (Monthly)]]&gt;=145000,52684,35103))</f>
        <v>69507</v>
      </c>
      <c r="U628" s="7">
        <f>Payroll_Data_Analysis[[#This Row],[Annual KPI Bonus Reserve]]+Payroll_Data_Analysis[[#This Row],[Vacation Reserve]]+Payroll_Data_Analysis[[#This Row],[11-Month Salary]]</f>
        <v>4826860.0682593854</v>
      </c>
      <c r="V628" s="7">
        <f>Payroll_Data_Analysis[[#This Row],[Payroll Taxes (KPI Bonus)]]+Payroll_Data_Analysis[[#This Row],[Payroll Taxes (Vacation)]]+Payroll_Data_Analysis[[#This Row],[Payroll Taxes (Salary)]]</f>
        <v>1379342.7406143346</v>
      </c>
      <c r="W628" s="13">
        <f>Payroll_Data_Analysis[[#This Row],[Total Payroll]]+Payroll_Data_Analysis[[#This Row],[Total Payroll Taxes]]</f>
        <v>6206202.8088737205</v>
      </c>
    </row>
    <row r="629" spans="1:23">
      <c r="A629" s="11" t="s">
        <v>680</v>
      </c>
      <c r="B629" s="5" t="s">
        <v>632</v>
      </c>
      <c r="C629" s="5" t="s">
        <v>704</v>
      </c>
      <c r="D629" s="28" t="str">
        <f>VLOOKUP(Payroll_Data_Analysis[[#This Row],[Position]],Position_Map!$A$2:$B$58,2,FALSE)</f>
        <v>Management</v>
      </c>
      <c r="E629" s="6">
        <v>1</v>
      </c>
      <c r="F629" s="7">
        <v>236600</v>
      </c>
      <c r="G629" s="7">
        <v>200000</v>
      </c>
      <c r="H629" s="7"/>
      <c r="I629" s="7">
        <f>dataset!$F629-dataset!$J629-dataset!$G629-dataset!$H629</f>
        <v>20600</v>
      </c>
      <c r="J629" s="7">
        <f>dataset!$G629*0.08</f>
        <v>16000</v>
      </c>
      <c r="K629" s="7">
        <f>dataset!$F629*12</f>
        <v>2839200</v>
      </c>
      <c r="L629" s="12">
        <f>IF(dataset!$G629&gt;=200000,38%,IF(dataset!$G629&lt;=145000,12.3%,))</f>
        <v>0.38</v>
      </c>
      <c r="M629" s="7">
        <f>dataset!$G629*L630*12</f>
        <v>912000</v>
      </c>
      <c r="N629" s="7">
        <f>IF(Payroll_Data_Analysis[[#This Row],[Annual KPI Bonus Reserve]]&lt;=2979000,Payroll_Data_Analysis[[#This Row],[Annual KPI Bonus Reserve]]*0.302,2979000*0.302+(Payroll_Data_Analysis[[#This Row],[Annual KPI Bonus Reserve]]-2979000)*0.151)</f>
        <v>275424</v>
      </c>
      <c r="O629" s="7">
        <f>dataset!$K629+dataset!$M629</f>
        <v>3751200</v>
      </c>
      <c r="P629" s="7">
        <f>Payroll_Data_Analysis[[#This Row],[Annual Salary + KPI Bonus]]/12/29.3*31</f>
        <v>330737.20136518771</v>
      </c>
      <c r="Q629" s="7">
        <f>IF(Payroll_Data_Analysis[[#This Row],[Vacation Reserve]]&lt;=2979000,Payroll_Data_Analysis[[#This Row],[Vacation Reserve]]*0.302,2979000*0.302+(Payroll_Data_Analysis[[#This Row],[Vacation Reserve]]-2979000)*0.151)</f>
        <v>99882.634812286691</v>
      </c>
      <c r="R629" s="7">
        <f>Payroll_Data_Analysis[[#This Row],[Monthly Salary]]*11</f>
        <v>2602600</v>
      </c>
      <c r="S629" s="7">
        <f>IF(Payroll_Data_Analysis[[#This Row],[11-Month Salary]]&lt;=2979000,Payroll_Data_Analysis[[#This Row],[11-Month Salary]]*0.302,2979000*0.302+(Payroll_Data_Analysis[[#This Row],[11-Month Salary]]-2979000)*0.151)</f>
        <v>785985.2</v>
      </c>
      <c r="T629" s="7">
        <f>IF(Payroll_Data_Analysis[[#This Row],[Base Salary (Monthly)]]&gt;=200000,69507,IF(Payroll_Data_Analysis[[#This Row],[Base Salary (Monthly)]]&gt;=145000,52684,35103))</f>
        <v>69507</v>
      </c>
      <c r="U629" s="7">
        <f>Payroll_Data_Analysis[[#This Row],[Annual KPI Bonus Reserve]]+Payroll_Data_Analysis[[#This Row],[Vacation Reserve]]+Payroll_Data_Analysis[[#This Row],[11-Month Salary]]</f>
        <v>3845337.2013651878</v>
      </c>
      <c r="V629" s="7">
        <f>Payroll_Data_Analysis[[#This Row],[Payroll Taxes (KPI Bonus)]]+Payroll_Data_Analysis[[#This Row],[Payroll Taxes (Vacation)]]+Payroll_Data_Analysis[[#This Row],[Payroll Taxes (Salary)]]</f>
        <v>1161291.8348122868</v>
      </c>
      <c r="W629" s="13">
        <f>Payroll_Data_Analysis[[#This Row],[Total Payroll]]+Payroll_Data_Analysis[[#This Row],[Total Payroll Taxes]]</f>
        <v>5006629.036177475</v>
      </c>
    </row>
    <row r="630" spans="1:23">
      <c r="A630" s="11" t="s">
        <v>680</v>
      </c>
      <c r="B630" s="5" t="s">
        <v>633</v>
      </c>
      <c r="C630" s="5" t="s">
        <v>709</v>
      </c>
      <c r="D630" s="28" t="str">
        <f>VLOOKUP(Payroll_Data_Analysis[[#This Row],[Position]],Position_Map!$A$2:$B$58,2,FALSE)</f>
        <v>Engineering</v>
      </c>
      <c r="E630" s="6">
        <v>1</v>
      </c>
      <c r="F630" s="7">
        <v>236600</v>
      </c>
      <c r="G630" s="7">
        <v>200000</v>
      </c>
      <c r="H630" s="7"/>
      <c r="I630" s="7">
        <f>dataset!$F630-dataset!$J630-dataset!$G630-dataset!$H630</f>
        <v>20600</v>
      </c>
      <c r="J630" s="7">
        <f>dataset!$G630*0.08</f>
        <v>16000</v>
      </c>
      <c r="K630" s="7">
        <f>dataset!$F630*12</f>
        <v>2839200</v>
      </c>
      <c r="L630" s="12">
        <f>IF(dataset!$G630&gt;=200000,38%,IF(dataset!$G630&lt;=145000,12.3%,))</f>
        <v>0.38</v>
      </c>
      <c r="M630" s="7">
        <f>dataset!$G630*L631*12</f>
        <v>295200.00000000006</v>
      </c>
      <c r="N630" s="7">
        <f>IF(Payroll_Data_Analysis[[#This Row],[Annual KPI Bonus Reserve]]&lt;=2979000,Payroll_Data_Analysis[[#This Row],[Annual KPI Bonus Reserve]]*0.302,2979000*0.302+(Payroll_Data_Analysis[[#This Row],[Annual KPI Bonus Reserve]]-2979000)*0.151)</f>
        <v>89150.400000000009</v>
      </c>
      <c r="O630" s="7">
        <f>dataset!$K630+dataset!$M630</f>
        <v>3134400</v>
      </c>
      <c r="P630" s="7">
        <f>Payroll_Data_Analysis[[#This Row],[Annual Salary + KPI Bonus]]/12/29.3*31</f>
        <v>276354.94880546071</v>
      </c>
      <c r="Q630" s="7">
        <f>IF(Payroll_Data_Analysis[[#This Row],[Vacation Reserve]]&lt;=2979000,Payroll_Data_Analysis[[#This Row],[Vacation Reserve]]*0.302,2979000*0.302+(Payroll_Data_Analysis[[#This Row],[Vacation Reserve]]-2979000)*0.151)</f>
        <v>83459.194539249133</v>
      </c>
      <c r="R630" s="7">
        <f>Payroll_Data_Analysis[[#This Row],[Monthly Salary]]*11</f>
        <v>2602600</v>
      </c>
      <c r="S630" s="7">
        <f>IF(Payroll_Data_Analysis[[#This Row],[11-Month Salary]]&lt;=2979000,Payroll_Data_Analysis[[#This Row],[11-Month Salary]]*0.302,2979000*0.302+(Payroll_Data_Analysis[[#This Row],[11-Month Salary]]-2979000)*0.151)</f>
        <v>785985.2</v>
      </c>
      <c r="T630" s="7">
        <f>IF(Payroll_Data_Analysis[[#This Row],[Base Salary (Monthly)]]&gt;=200000,69507,IF(Payroll_Data_Analysis[[#This Row],[Base Salary (Monthly)]]&gt;=145000,52684,35103))</f>
        <v>69507</v>
      </c>
      <c r="U630" s="7">
        <f>Payroll_Data_Analysis[[#This Row],[Annual KPI Bonus Reserve]]+Payroll_Data_Analysis[[#This Row],[Vacation Reserve]]+Payroll_Data_Analysis[[#This Row],[11-Month Salary]]</f>
        <v>3174154.9488054607</v>
      </c>
      <c r="V630" s="7">
        <f>Payroll_Data_Analysis[[#This Row],[Payroll Taxes (KPI Bonus)]]+Payroll_Data_Analysis[[#This Row],[Payroll Taxes (Vacation)]]+Payroll_Data_Analysis[[#This Row],[Payroll Taxes (Salary)]]</f>
        <v>958594.79453924904</v>
      </c>
      <c r="W630" s="13">
        <f>Payroll_Data_Analysis[[#This Row],[Total Payroll]]+Payroll_Data_Analysis[[#This Row],[Total Payroll Taxes]]</f>
        <v>4132749.7433447097</v>
      </c>
    </row>
    <row r="631" spans="1:23">
      <c r="A631" s="11" t="s">
        <v>680</v>
      </c>
      <c r="B631" s="5" t="s">
        <v>634</v>
      </c>
      <c r="C631" s="5" t="s">
        <v>705</v>
      </c>
      <c r="D631" s="28" t="str">
        <f>VLOOKUP(Payroll_Data_Analysis[[#This Row],[Position]],Position_Map!$A$2:$B$58,2,FALSE)</f>
        <v>Professional</v>
      </c>
      <c r="E631" s="6">
        <v>1</v>
      </c>
      <c r="F631" s="7">
        <v>96400</v>
      </c>
      <c r="G631" s="7">
        <v>80000</v>
      </c>
      <c r="H631" s="7"/>
      <c r="I631" s="7">
        <f>dataset!$F631-dataset!$J631-dataset!$G631-dataset!$H631</f>
        <v>10000</v>
      </c>
      <c r="J631" s="7">
        <f>dataset!$G631*0.08</f>
        <v>6400</v>
      </c>
      <c r="K631" s="7">
        <f>dataset!$F631*12</f>
        <v>1156800</v>
      </c>
      <c r="L631" s="12">
        <f>IF(dataset!$G631&gt;=200000,38%,IF(dataset!$G631&lt;=145000,12.3%,))</f>
        <v>0.12300000000000001</v>
      </c>
      <c r="M631" s="7">
        <f>dataset!$G631*L632*12</f>
        <v>118080.00000000003</v>
      </c>
      <c r="N631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1" s="7">
        <f>dataset!$K631+dataset!$M631</f>
        <v>1274880</v>
      </c>
      <c r="P631" s="7">
        <f>Payroll_Data_Analysis[[#This Row],[Annual Salary + KPI Bonus]]/12/29.3*31</f>
        <v>112404.09556313993</v>
      </c>
      <c r="Q631" s="7">
        <f>IF(Payroll_Data_Analysis[[#This Row],[Vacation Reserve]]&lt;=2979000,Payroll_Data_Analysis[[#This Row],[Vacation Reserve]]*0.302,2979000*0.302+(Payroll_Data_Analysis[[#This Row],[Vacation Reserve]]-2979000)*0.151)</f>
        <v>33946.036860068256</v>
      </c>
      <c r="R631" s="7">
        <f>Payroll_Data_Analysis[[#This Row],[Monthly Salary]]*11</f>
        <v>1060400</v>
      </c>
      <c r="S631" s="7">
        <f>IF(Payroll_Data_Analysis[[#This Row],[11-Month Salary]]&lt;=2979000,Payroll_Data_Analysis[[#This Row],[11-Month Salary]]*0.302,2979000*0.302+(Payroll_Data_Analysis[[#This Row],[11-Month Salary]]-2979000)*0.151)</f>
        <v>320240.8</v>
      </c>
      <c r="T631" s="7">
        <f>IF(Payroll_Data_Analysis[[#This Row],[Base Salary (Monthly)]]&gt;=200000,69507,IF(Payroll_Data_Analysis[[#This Row],[Base Salary (Monthly)]]&gt;=145000,52684,35103))</f>
        <v>35103</v>
      </c>
      <c r="U631" s="7">
        <f>Payroll_Data_Analysis[[#This Row],[Annual KPI Bonus Reserve]]+Payroll_Data_Analysis[[#This Row],[Vacation Reserve]]+Payroll_Data_Analysis[[#This Row],[11-Month Salary]]</f>
        <v>1290884.09556314</v>
      </c>
      <c r="V631" s="7">
        <f>Payroll_Data_Analysis[[#This Row],[Payroll Taxes (KPI Bonus)]]+Payroll_Data_Analysis[[#This Row],[Payroll Taxes (Vacation)]]+Payroll_Data_Analysis[[#This Row],[Payroll Taxes (Salary)]]</f>
        <v>389846.99686006829</v>
      </c>
      <c r="W631" s="13">
        <f>Payroll_Data_Analysis[[#This Row],[Total Payroll]]+Payroll_Data_Analysis[[#This Row],[Total Payroll Taxes]]</f>
        <v>1680731.0924232083</v>
      </c>
    </row>
    <row r="632" spans="1:23">
      <c r="A632" s="11" t="s">
        <v>680</v>
      </c>
      <c r="B632" s="5" t="s">
        <v>635</v>
      </c>
      <c r="C632" s="5" t="s">
        <v>709</v>
      </c>
      <c r="D632" s="28" t="str">
        <f>VLOOKUP(Payroll_Data_Analysis[[#This Row],[Position]],Position_Map!$A$2:$B$58,2,FALSE)</f>
        <v>Engineering</v>
      </c>
      <c r="E632" s="6">
        <v>1</v>
      </c>
      <c r="F632" s="7">
        <v>90400</v>
      </c>
      <c r="G632" s="7">
        <v>80000</v>
      </c>
      <c r="H632" s="7"/>
      <c r="I632" s="7">
        <f>dataset!$F632-dataset!$J632-dataset!$G632-dataset!$H632</f>
        <v>4000</v>
      </c>
      <c r="J632" s="7">
        <f>dataset!$G632*0.08</f>
        <v>6400</v>
      </c>
      <c r="K632" s="7">
        <f>dataset!$F632*12</f>
        <v>1084800</v>
      </c>
      <c r="L632" s="12">
        <f>IF(dataset!$G632&gt;=200000,38%,IF(dataset!$G632&lt;=145000,12.3%,))</f>
        <v>0.12300000000000001</v>
      </c>
      <c r="M632" s="7">
        <f>dataset!$G632*L633*12</f>
        <v>118080.00000000003</v>
      </c>
      <c r="N632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2" s="7">
        <f>dataset!$K632+dataset!$M632</f>
        <v>1202880</v>
      </c>
      <c r="P632" s="7">
        <f>Payroll_Data_Analysis[[#This Row],[Annual Salary + KPI Bonus]]/12/29.3*31</f>
        <v>106055.97269624574</v>
      </c>
      <c r="Q632" s="7">
        <f>IF(Payroll_Data_Analysis[[#This Row],[Vacation Reserve]]&lt;=2979000,Payroll_Data_Analysis[[#This Row],[Vacation Reserve]]*0.302,2979000*0.302+(Payroll_Data_Analysis[[#This Row],[Vacation Reserve]]-2979000)*0.151)</f>
        <v>32028.903754266212</v>
      </c>
      <c r="R632" s="7">
        <f>Payroll_Data_Analysis[[#This Row],[Monthly Salary]]*11</f>
        <v>994400</v>
      </c>
      <c r="S632" s="7">
        <f>IF(Payroll_Data_Analysis[[#This Row],[11-Month Salary]]&lt;=2979000,Payroll_Data_Analysis[[#This Row],[11-Month Salary]]*0.302,2979000*0.302+(Payroll_Data_Analysis[[#This Row],[11-Month Salary]]-2979000)*0.151)</f>
        <v>300308.8</v>
      </c>
      <c r="T632" s="7">
        <f>IF(Payroll_Data_Analysis[[#This Row],[Base Salary (Monthly)]]&gt;=200000,69507,IF(Payroll_Data_Analysis[[#This Row],[Base Salary (Monthly)]]&gt;=145000,52684,35103))</f>
        <v>35103</v>
      </c>
      <c r="U632" s="7">
        <f>Payroll_Data_Analysis[[#This Row],[Annual KPI Bonus Reserve]]+Payroll_Data_Analysis[[#This Row],[Vacation Reserve]]+Payroll_Data_Analysis[[#This Row],[11-Month Salary]]</f>
        <v>1218535.9726962456</v>
      </c>
      <c r="V632" s="7">
        <f>Payroll_Data_Analysis[[#This Row],[Payroll Taxes (KPI Bonus)]]+Payroll_Data_Analysis[[#This Row],[Payroll Taxes (Vacation)]]+Payroll_Data_Analysis[[#This Row],[Payroll Taxes (Salary)]]</f>
        <v>367997.86375426617</v>
      </c>
      <c r="W632" s="13">
        <f>Payroll_Data_Analysis[[#This Row],[Total Payroll]]+Payroll_Data_Analysis[[#This Row],[Total Payroll Taxes]]</f>
        <v>1586533.8364505118</v>
      </c>
    </row>
    <row r="633" spans="1:23">
      <c r="A633" s="11" t="s">
        <v>680</v>
      </c>
      <c r="B633" s="5" t="s">
        <v>636</v>
      </c>
      <c r="C633" s="5" t="s">
        <v>751</v>
      </c>
      <c r="D633" s="28" t="str">
        <f>VLOOKUP(Payroll_Data_Analysis[[#This Row],[Position]],Position_Map!$A$2:$B$58,2,FALSE)</f>
        <v>Engineering</v>
      </c>
      <c r="E633" s="6">
        <v>1</v>
      </c>
      <c r="F633" s="7">
        <v>116400</v>
      </c>
      <c r="G633" s="7">
        <v>80000</v>
      </c>
      <c r="H633" s="7"/>
      <c r="I633" s="7">
        <f>dataset!$F633-dataset!$J633-dataset!$G633-dataset!$H633</f>
        <v>30000</v>
      </c>
      <c r="J633" s="7">
        <f>dataset!$G633*0.08</f>
        <v>6400</v>
      </c>
      <c r="K633" s="7">
        <f>dataset!$F633*12</f>
        <v>1396800</v>
      </c>
      <c r="L633" s="12">
        <f>IF(dataset!$G633&gt;=200000,38%,IF(dataset!$G633&lt;=145000,12.3%,))</f>
        <v>0.12300000000000001</v>
      </c>
      <c r="M633" s="7">
        <f>dataset!$G633*L634*12</f>
        <v>118080.00000000003</v>
      </c>
      <c r="N633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3" s="7">
        <f>dataset!$K633+dataset!$M633</f>
        <v>1514880</v>
      </c>
      <c r="P633" s="7">
        <f>Payroll_Data_Analysis[[#This Row],[Annual Salary + KPI Bonus]]/12/29.3*31</f>
        <v>133564.50511945394</v>
      </c>
      <c r="Q633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633" s="7">
        <f>Payroll_Data_Analysis[[#This Row],[Monthly Salary]]*11</f>
        <v>1280400</v>
      </c>
      <c r="S633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633" s="7">
        <f>IF(Payroll_Data_Analysis[[#This Row],[Base Salary (Monthly)]]&gt;=200000,69507,IF(Payroll_Data_Analysis[[#This Row],[Base Salary (Monthly)]]&gt;=145000,52684,35103))</f>
        <v>35103</v>
      </c>
      <c r="U633" s="7">
        <f>Payroll_Data_Analysis[[#This Row],[Annual KPI Bonus Reserve]]+Payroll_Data_Analysis[[#This Row],[Vacation Reserve]]+Payroll_Data_Analysis[[#This Row],[11-Month Salary]]</f>
        <v>1532044.5051194539</v>
      </c>
      <c r="V633" s="7">
        <f>Payroll_Data_Analysis[[#This Row],[Payroll Taxes (KPI Bonus)]]+Payroll_Data_Analysis[[#This Row],[Payroll Taxes (Vacation)]]+Payroll_Data_Analysis[[#This Row],[Payroll Taxes (Salary)]]</f>
        <v>462677.44054607511</v>
      </c>
      <c r="W633" s="13">
        <f>Payroll_Data_Analysis[[#This Row],[Total Payroll]]+Payroll_Data_Analysis[[#This Row],[Total Payroll Taxes]]</f>
        <v>1994721.945665529</v>
      </c>
    </row>
    <row r="634" spans="1:23">
      <c r="A634" s="11" t="s">
        <v>681</v>
      </c>
      <c r="B634" s="5" t="s">
        <v>637</v>
      </c>
      <c r="C634" s="5" t="s">
        <v>709</v>
      </c>
      <c r="D634" s="28" t="str">
        <f>VLOOKUP(Payroll_Data_Analysis[[#This Row],[Position]],Position_Map!$A$2:$B$58,2,FALSE)</f>
        <v>Engineering</v>
      </c>
      <c r="E634" s="6">
        <v>1</v>
      </c>
      <c r="F634" s="7">
        <v>116400</v>
      </c>
      <c r="G634" s="7">
        <v>80000</v>
      </c>
      <c r="H634" s="7"/>
      <c r="I634" s="7">
        <f>dataset!$F634-dataset!$J634-dataset!$G634-dataset!$H634</f>
        <v>30000</v>
      </c>
      <c r="J634" s="7">
        <f>dataset!$G634*0.08</f>
        <v>6400</v>
      </c>
      <c r="K634" s="7">
        <f>dataset!$F634*12</f>
        <v>1396800</v>
      </c>
      <c r="L634" s="12">
        <f>IF(dataset!$G634&gt;=200000,38%,IF(dataset!$G634&lt;=145000,12.3%,))</f>
        <v>0.12300000000000001</v>
      </c>
      <c r="M634" s="7">
        <f>dataset!$G634*L635*12</f>
        <v>118080.00000000003</v>
      </c>
      <c r="N634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4" s="7">
        <f>dataset!$K634+dataset!$M634</f>
        <v>1514880</v>
      </c>
      <c r="P634" s="7">
        <f>Payroll_Data_Analysis[[#This Row],[Annual Salary + KPI Bonus]]/12/29.3*31</f>
        <v>133564.50511945394</v>
      </c>
      <c r="Q634" s="7">
        <f>IF(Payroll_Data_Analysis[[#This Row],[Vacation Reserve]]&lt;=2979000,Payroll_Data_Analysis[[#This Row],[Vacation Reserve]]*0.302,2979000*0.302+(Payroll_Data_Analysis[[#This Row],[Vacation Reserve]]-2979000)*0.151)</f>
        <v>40336.480546075087</v>
      </c>
      <c r="R634" s="7">
        <f>Payroll_Data_Analysis[[#This Row],[Monthly Salary]]*11</f>
        <v>1280400</v>
      </c>
      <c r="S634" s="7">
        <f>IF(Payroll_Data_Analysis[[#This Row],[11-Month Salary]]&lt;=2979000,Payroll_Data_Analysis[[#This Row],[11-Month Salary]]*0.302,2979000*0.302+(Payroll_Data_Analysis[[#This Row],[11-Month Salary]]-2979000)*0.151)</f>
        <v>386680.8</v>
      </c>
      <c r="T634" s="7">
        <f>IF(Payroll_Data_Analysis[[#This Row],[Base Salary (Monthly)]]&gt;=200000,69507,IF(Payroll_Data_Analysis[[#This Row],[Base Salary (Monthly)]]&gt;=145000,52684,35103))</f>
        <v>35103</v>
      </c>
      <c r="U634" s="7">
        <f>Payroll_Data_Analysis[[#This Row],[Annual KPI Bonus Reserve]]+Payroll_Data_Analysis[[#This Row],[Vacation Reserve]]+Payroll_Data_Analysis[[#This Row],[11-Month Salary]]</f>
        <v>1532044.5051194539</v>
      </c>
      <c r="V634" s="7">
        <f>Payroll_Data_Analysis[[#This Row],[Payroll Taxes (KPI Bonus)]]+Payroll_Data_Analysis[[#This Row],[Payroll Taxes (Vacation)]]+Payroll_Data_Analysis[[#This Row],[Payroll Taxes (Salary)]]</f>
        <v>462677.44054607511</v>
      </c>
      <c r="W634" s="13">
        <f>Payroll_Data_Analysis[[#This Row],[Total Payroll]]+Payroll_Data_Analysis[[#This Row],[Total Payroll Taxes]]</f>
        <v>1994721.945665529</v>
      </c>
    </row>
    <row r="635" spans="1:23">
      <c r="A635" s="11" t="s">
        <v>681</v>
      </c>
      <c r="B635" s="5" t="s">
        <v>638</v>
      </c>
      <c r="C635" s="5" t="s">
        <v>708</v>
      </c>
      <c r="D635" s="28" t="str">
        <f>VLOOKUP(Payroll_Data_Analysis[[#This Row],[Position]],Position_Map!$A$2:$B$58,2,FALSE)</f>
        <v>Professional</v>
      </c>
      <c r="E635" s="6">
        <v>1</v>
      </c>
      <c r="F635" s="7">
        <v>158000</v>
      </c>
      <c r="G635" s="7">
        <v>100000</v>
      </c>
      <c r="H635" s="7"/>
      <c r="I635" s="7">
        <f>dataset!$F635-dataset!$J635-dataset!$G635-dataset!$H635</f>
        <v>50000</v>
      </c>
      <c r="J635" s="7">
        <f>dataset!$G635*0.08</f>
        <v>8000</v>
      </c>
      <c r="K635" s="7">
        <f>dataset!$F635*12</f>
        <v>1896000</v>
      </c>
      <c r="L635" s="12">
        <f>IF(dataset!$G635&gt;=200000,38%,IF(dataset!$G635&lt;=145000,12.3%,))</f>
        <v>0.12300000000000001</v>
      </c>
      <c r="M635" s="7">
        <f>dataset!$G635*L636*12</f>
        <v>147600.00000000003</v>
      </c>
      <c r="N635" s="7">
        <f>IF(Payroll_Data_Analysis[[#This Row],[Annual KPI Bonus Reserve]]&lt;=2979000,Payroll_Data_Analysis[[#This Row],[Annual KPI Bonus Reserve]]*0.302,2979000*0.302+(Payroll_Data_Analysis[[#This Row],[Annual KPI Bonus Reserve]]-2979000)*0.151)</f>
        <v>44575.200000000004</v>
      </c>
      <c r="O635" s="7">
        <f>dataset!$K635+dataset!$M635</f>
        <v>2043600</v>
      </c>
      <c r="P635" s="7">
        <f>Payroll_Data_Analysis[[#This Row],[Annual Salary + KPI Bonus]]/12/29.3*31</f>
        <v>180180.88737201365</v>
      </c>
      <c r="Q635" s="7">
        <f>IF(Payroll_Data_Analysis[[#This Row],[Vacation Reserve]]&lt;=2979000,Payroll_Data_Analysis[[#This Row],[Vacation Reserve]]*0.302,2979000*0.302+(Payroll_Data_Analysis[[#This Row],[Vacation Reserve]]-2979000)*0.151)</f>
        <v>54414.627986348118</v>
      </c>
      <c r="R635" s="7">
        <f>Payroll_Data_Analysis[[#This Row],[Monthly Salary]]*11</f>
        <v>1738000</v>
      </c>
      <c r="S635" s="7">
        <f>IF(Payroll_Data_Analysis[[#This Row],[11-Month Salary]]&lt;=2979000,Payroll_Data_Analysis[[#This Row],[11-Month Salary]]*0.302,2979000*0.302+(Payroll_Data_Analysis[[#This Row],[11-Month Salary]]-2979000)*0.151)</f>
        <v>524876</v>
      </c>
      <c r="T635" s="7">
        <f>IF(Payroll_Data_Analysis[[#This Row],[Base Salary (Monthly)]]&gt;=200000,69507,IF(Payroll_Data_Analysis[[#This Row],[Base Salary (Monthly)]]&gt;=145000,52684,35103))</f>
        <v>35103</v>
      </c>
      <c r="U635" s="7">
        <f>Payroll_Data_Analysis[[#This Row],[Annual KPI Bonus Reserve]]+Payroll_Data_Analysis[[#This Row],[Vacation Reserve]]+Payroll_Data_Analysis[[#This Row],[11-Month Salary]]</f>
        <v>2065780.8873720136</v>
      </c>
      <c r="V635" s="7">
        <f>Payroll_Data_Analysis[[#This Row],[Payroll Taxes (KPI Bonus)]]+Payroll_Data_Analysis[[#This Row],[Payroll Taxes (Vacation)]]+Payroll_Data_Analysis[[#This Row],[Payroll Taxes (Salary)]]</f>
        <v>623865.82798634819</v>
      </c>
      <c r="W635" s="13">
        <f>Payroll_Data_Analysis[[#This Row],[Total Payroll]]+Payroll_Data_Analysis[[#This Row],[Total Payroll Taxes]]</f>
        <v>2689646.7153583616</v>
      </c>
    </row>
    <row r="636" spans="1:23">
      <c r="A636" s="11" t="s">
        <v>681</v>
      </c>
      <c r="B636" s="5" t="s">
        <v>639</v>
      </c>
      <c r="C636" s="5" t="s">
        <v>709</v>
      </c>
      <c r="D636" s="28" t="str">
        <f>VLOOKUP(Payroll_Data_Analysis[[#This Row],[Position]],Position_Map!$A$2:$B$58,2,FALSE)</f>
        <v>Engineering</v>
      </c>
      <c r="E636" s="6">
        <v>1</v>
      </c>
      <c r="F636" s="7">
        <v>90400</v>
      </c>
      <c r="G636" s="7">
        <v>80000</v>
      </c>
      <c r="H636" s="7"/>
      <c r="I636" s="7">
        <f>dataset!$F636-dataset!$J636-dataset!$G636-dataset!$H636</f>
        <v>4000</v>
      </c>
      <c r="J636" s="7">
        <f>dataset!$G636*0.08</f>
        <v>6400</v>
      </c>
      <c r="K636" s="7">
        <f>dataset!$F636*12</f>
        <v>1084800</v>
      </c>
      <c r="L636" s="12">
        <f>IF(dataset!$G636&gt;=200000,38%,IF(dataset!$G636&lt;=145000,12.3%,))</f>
        <v>0.12300000000000001</v>
      </c>
      <c r="M636" s="7">
        <f>dataset!$G636*L637*12</f>
        <v>118080.00000000003</v>
      </c>
      <c r="N636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6" s="7">
        <f>dataset!$K636+dataset!$M636</f>
        <v>1202880</v>
      </c>
      <c r="P636" s="7">
        <f>Payroll_Data_Analysis[[#This Row],[Annual Salary + KPI Bonus]]/12/29.3*31</f>
        <v>106055.97269624574</v>
      </c>
      <c r="Q636" s="7">
        <f>IF(Payroll_Data_Analysis[[#This Row],[Vacation Reserve]]&lt;=2979000,Payroll_Data_Analysis[[#This Row],[Vacation Reserve]]*0.302,2979000*0.302+(Payroll_Data_Analysis[[#This Row],[Vacation Reserve]]-2979000)*0.151)</f>
        <v>32028.903754266212</v>
      </c>
      <c r="R636" s="7">
        <f>Payroll_Data_Analysis[[#This Row],[Monthly Salary]]*11</f>
        <v>994400</v>
      </c>
      <c r="S636" s="7">
        <f>IF(Payroll_Data_Analysis[[#This Row],[11-Month Salary]]&lt;=2979000,Payroll_Data_Analysis[[#This Row],[11-Month Salary]]*0.302,2979000*0.302+(Payroll_Data_Analysis[[#This Row],[11-Month Salary]]-2979000)*0.151)</f>
        <v>300308.8</v>
      </c>
      <c r="T636" s="7">
        <f>IF(Payroll_Data_Analysis[[#This Row],[Base Salary (Monthly)]]&gt;=200000,69507,IF(Payroll_Data_Analysis[[#This Row],[Base Salary (Monthly)]]&gt;=145000,52684,35103))</f>
        <v>35103</v>
      </c>
      <c r="U636" s="7">
        <f>Payroll_Data_Analysis[[#This Row],[Annual KPI Bonus Reserve]]+Payroll_Data_Analysis[[#This Row],[Vacation Reserve]]+Payroll_Data_Analysis[[#This Row],[11-Month Salary]]</f>
        <v>1218535.9726962456</v>
      </c>
      <c r="V636" s="7">
        <f>Payroll_Data_Analysis[[#This Row],[Payroll Taxes (KPI Bonus)]]+Payroll_Data_Analysis[[#This Row],[Payroll Taxes (Vacation)]]+Payroll_Data_Analysis[[#This Row],[Payroll Taxes (Salary)]]</f>
        <v>367997.86375426617</v>
      </c>
      <c r="W636" s="13">
        <f>Payroll_Data_Analysis[[#This Row],[Total Payroll]]+Payroll_Data_Analysis[[#This Row],[Total Payroll Taxes]]</f>
        <v>1586533.8364505118</v>
      </c>
    </row>
    <row r="637" spans="1:23">
      <c r="A637" s="11" t="s">
        <v>681</v>
      </c>
      <c r="B637" s="5" t="s">
        <v>640</v>
      </c>
      <c r="C637" s="5" t="s">
        <v>709</v>
      </c>
      <c r="D637" s="28" t="str">
        <f>VLOOKUP(Payroll_Data_Analysis[[#This Row],[Position]],Position_Map!$A$2:$B$58,2,FALSE)</f>
        <v>Engineering</v>
      </c>
      <c r="E637" s="6">
        <v>1</v>
      </c>
      <c r="F637" s="7">
        <v>90400</v>
      </c>
      <c r="G637" s="7">
        <v>80000</v>
      </c>
      <c r="H637" s="7"/>
      <c r="I637" s="7">
        <f>dataset!$F637-dataset!$J637-dataset!$G637-dataset!$H637</f>
        <v>4000</v>
      </c>
      <c r="J637" s="7">
        <f>dataset!$G637*0.08</f>
        <v>6400</v>
      </c>
      <c r="K637" s="7">
        <f>dataset!$F637*12</f>
        <v>1084800</v>
      </c>
      <c r="L637" s="12">
        <f>IF(dataset!$G637&gt;=200000,38%,IF(dataset!$G637&lt;=145000,12.3%,))</f>
        <v>0.12300000000000001</v>
      </c>
      <c r="M637" s="7">
        <f>dataset!$G637*L638*12</f>
        <v>118080.00000000003</v>
      </c>
      <c r="N637" s="7">
        <f>IF(Payroll_Data_Analysis[[#This Row],[Annual KPI Bonus Reserve]]&lt;=2979000,Payroll_Data_Analysis[[#This Row],[Annual KPI Bonus Reserve]]*0.302,2979000*0.302+(Payroll_Data_Analysis[[#This Row],[Annual KPI Bonus Reserve]]-2979000)*0.151)</f>
        <v>35660.160000000011</v>
      </c>
      <c r="O637" s="7">
        <f>dataset!$K637+dataset!$M637</f>
        <v>1202880</v>
      </c>
      <c r="P637" s="7">
        <f>Payroll_Data_Analysis[[#This Row],[Annual Salary + KPI Bonus]]/12/29.3*31</f>
        <v>106055.97269624574</v>
      </c>
      <c r="Q637" s="7">
        <f>IF(Payroll_Data_Analysis[[#This Row],[Vacation Reserve]]&lt;=2979000,Payroll_Data_Analysis[[#This Row],[Vacation Reserve]]*0.302,2979000*0.302+(Payroll_Data_Analysis[[#This Row],[Vacation Reserve]]-2979000)*0.151)</f>
        <v>32028.903754266212</v>
      </c>
      <c r="R637" s="7">
        <f>Payroll_Data_Analysis[[#This Row],[Monthly Salary]]*11</f>
        <v>994400</v>
      </c>
      <c r="S637" s="7">
        <f>IF(Payroll_Data_Analysis[[#This Row],[11-Month Salary]]&lt;=2979000,Payroll_Data_Analysis[[#This Row],[11-Month Salary]]*0.302,2979000*0.302+(Payroll_Data_Analysis[[#This Row],[11-Month Salary]]-2979000)*0.151)</f>
        <v>300308.8</v>
      </c>
      <c r="T637" s="7">
        <f>IF(Payroll_Data_Analysis[[#This Row],[Base Salary (Monthly)]]&gt;=200000,69507,IF(Payroll_Data_Analysis[[#This Row],[Base Salary (Monthly)]]&gt;=145000,52684,35103))</f>
        <v>35103</v>
      </c>
      <c r="U637" s="7">
        <f>Payroll_Data_Analysis[[#This Row],[Annual KPI Bonus Reserve]]+Payroll_Data_Analysis[[#This Row],[Vacation Reserve]]+Payroll_Data_Analysis[[#This Row],[11-Month Salary]]</f>
        <v>1218535.9726962456</v>
      </c>
      <c r="V637" s="7">
        <f>Payroll_Data_Analysis[[#This Row],[Payroll Taxes (KPI Bonus)]]+Payroll_Data_Analysis[[#This Row],[Payroll Taxes (Vacation)]]+Payroll_Data_Analysis[[#This Row],[Payroll Taxes (Salary)]]</f>
        <v>367997.86375426617</v>
      </c>
      <c r="W637" s="13">
        <f>Payroll_Data_Analysis[[#This Row],[Total Payroll]]+Payroll_Data_Analysis[[#This Row],[Total Payroll Taxes]]</f>
        <v>1586533.8364505118</v>
      </c>
    </row>
    <row r="638" spans="1:23">
      <c r="A638" s="11" t="s">
        <v>681</v>
      </c>
      <c r="B638" s="5" t="s">
        <v>641</v>
      </c>
      <c r="C638" s="5" t="s">
        <v>745</v>
      </c>
      <c r="D638" s="28" t="str">
        <f>VLOOKUP(Payroll_Data_Analysis[[#This Row],[Position]],Position_Map!$A$2:$B$58,2,FALSE)</f>
        <v>Professional</v>
      </c>
      <c r="E638" s="6">
        <v>1</v>
      </c>
      <c r="F638" s="7">
        <v>201100</v>
      </c>
      <c r="G638" s="7"/>
      <c r="H638" s="7"/>
      <c r="I638" s="7">
        <f>dataset!$F638-dataset!$J638-dataset!$G638-dataset!$H638</f>
        <v>201100</v>
      </c>
      <c r="J638" s="7">
        <f>dataset!$G638*0.08</f>
        <v>0</v>
      </c>
      <c r="K638" s="7">
        <f>dataset!$F638*12</f>
        <v>2413200</v>
      </c>
      <c r="L638" s="12">
        <f>IF(dataset!$G638&gt;=200000,38%,IF(dataset!$G638&lt;=145000,12.3%,))</f>
        <v>0.12300000000000001</v>
      </c>
      <c r="M638" s="7">
        <f>dataset!$G638*L639*12</f>
        <v>0</v>
      </c>
      <c r="N638" s="7">
        <f>IF(Payroll_Data_Analysis[[#This Row],[Annual KPI Bonus Reserve]]&lt;=2979000,Payroll_Data_Analysis[[#This Row],[Annual KPI Bonus Reserve]]*0.302,2979000*0.302+(Payroll_Data_Analysis[[#This Row],[Annual KPI Bonus Reserve]]-2979000)*0.151)</f>
        <v>0</v>
      </c>
      <c r="O638" s="7">
        <f>dataset!$K638+dataset!$M638</f>
        <v>2413200</v>
      </c>
      <c r="P638" s="7">
        <f>Payroll_Data_Analysis[[#This Row],[Annual Salary + KPI Bonus]]/12/29.3*31</f>
        <v>212767.91808873721</v>
      </c>
      <c r="Q638" s="7">
        <f>IF(Payroll_Data_Analysis[[#This Row],[Vacation Reserve]]&lt;=2979000,Payroll_Data_Analysis[[#This Row],[Vacation Reserve]]*0.302,2979000*0.302+(Payroll_Data_Analysis[[#This Row],[Vacation Reserve]]-2979000)*0.151)</f>
        <v>64255.911262798632</v>
      </c>
      <c r="R638" s="7">
        <f>Payroll_Data_Analysis[[#This Row],[Monthly Salary]]*11</f>
        <v>2212100</v>
      </c>
      <c r="S638" s="7">
        <f>IF(Payroll_Data_Analysis[[#This Row],[11-Month Salary]]&lt;=2979000,Payroll_Data_Analysis[[#This Row],[11-Month Salary]]*0.302,2979000*0.302+(Payroll_Data_Analysis[[#This Row],[11-Month Salary]]-2979000)*0.151)</f>
        <v>668054.19999999995</v>
      </c>
      <c r="T638" s="7">
        <f>IF(Payroll_Data_Analysis[[#This Row],[Base Salary (Monthly)]]&gt;=200000,69507,IF(Payroll_Data_Analysis[[#This Row],[Base Salary (Monthly)]]&gt;=145000,52684,35103))</f>
        <v>35103</v>
      </c>
      <c r="U638" s="7">
        <f>Payroll_Data_Analysis[[#This Row],[Annual KPI Bonus Reserve]]+Payroll_Data_Analysis[[#This Row],[Vacation Reserve]]+Payroll_Data_Analysis[[#This Row],[11-Month Salary]]</f>
        <v>2424867.9180887374</v>
      </c>
      <c r="V638" s="7">
        <f>Payroll_Data_Analysis[[#This Row],[Payroll Taxes (KPI Bonus)]]+Payroll_Data_Analysis[[#This Row],[Payroll Taxes (Vacation)]]+Payroll_Data_Analysis[[#This Row],[Payroll Taxes (Salary)]]</f>
        <v>732310.11126279854</v>
      </c>
      <c r="W638" s="13">
        <f>Payroll_Data_Analysis[[#This Row],[Total Payroll]]+Payroll_Data_Analysis[[#This Row],[Total Payroll Taxes]]</f>
        <v>3157178.0293515362</v>
      </c>
    </row>
    <row r="639" spans="1:23">
      <c r="A639" s="11" t="s">
        <v>681</v>
      </c>
      <c r="B639" s="5" t="s">
        <v>642</v>
      </c>
      <c r="C639" s="5" t="s">
        <v>752</v>
      </c>
      <c r="D639" s="28" t="str">
        <f>VLOOKUP(Payroll_Data_Analysis[[#This Row],[Position]],Position_Map!$A$2:$B$58,2,FALSE)</f>
        <v>Professional</v>
      </c>
      <c r="E639" s="6">
        <v>1</v>
      </c>
      <c r="F639" s="7">
        <v>54000</v>
      </c>
      <c r="G639" s="7">
        <v>50000</v>
      </c>
      <c r="H639" s="7"/>
      <c r="I639" s="7">
        <f>dataset!$F639-dataset!$J639-dataset!$G639-dataset!$H639</f>
        <v>0</v>
      </c>
      <c r="J639" s="7">
        <f>dataset!$G639*0.08</f>
        <v>4000</v>
      </c>
      <c r="K639" s="7">
        <f>dataset!$F639*12</f>
        <v>648000</v>
      </c>
      <c r="L639" s="12">
        <f>IF(dataset!$G639&gt;=200000,38%,IF(dataset!$G639&lt;=145000,12.3%,))</f>
        <v>0.12300000000000001</v>
      </c>
      <c r="M639" s="7">
        <f>dataset!$G639*L640*12</f>
        <v>73800.000000000015</v>
      </c>
      <c r="N639" s="7">
        <f>IF(Payroll_Data_Analysis[[#This Row],[Annual KPI Bonus Reserve]]&lt;=2979000,Payroll_Data_Analysis[[#This Row],[Annual KPI Bonus Reserve]]*0.302,2979000*0.302+(Payroll_Data_Analysis[[#This Row],[Annual KPI Bonus Reserve]]-2979000)*0.151)</f>
        <v>22287.600000000002</v>
      </c>
      <c r="O639" s="7">
        <f>dataset!$K639+dataset!$M639</f>
        <v>721800</v>
      </c>
      <c r="P639" s="7">
        <f>Payroll_Data_Analysis[[#This Row],[Annual Salary + KPI Bonus]]/12/29.3*31</f>
        <v>63639.931740614331</v>
      </c>
      <c r="Q639" s="7">
        <f>IF(Payroll_Data_Analysis[[#This Row],[Vacation Reserve]]&lt;=2979000,Payroll_Data_Analysis[[#This Row],[Vacation Reserve]]*0.302,2979000*0.302+(Payroll_Data_Analysis[[#This Row],[Vacation Reserve]]-2979000)*0.151)</f>
        <v>19219.259385665526</v>
      </c>
      <c r="R639" s="7">
        <f>Payroll_Data_Analysis[[#This Row],[Monthly Salary]]*11</f>
        <v>594000</v>
      </c>
      <c r="S639" s="7">
        <f>IF(Payroll_Data_Analysis[[#This Row],[11-Month Salary]]&lt;=2979000,Payroll_Data_Analysis[[#This Row],[11-Month Salary]]*0.302,2979000*0.302+(Payroll_Data_Analysis[[#This Row],[11-Month Salary]]-2979000)*0.151)</f>
        <v>179388</v>
      </c>
      <c r="T639" s="7">
        <f>IF(Payroll_Data_Analysis[[#This Row],[Base Salary (Monthly)]]&gt;=200000,69507,IF(Payroll_Data_Analysis[[#This Row],[Base Salary (Monthly)]]&gt;=145000,52684,35103))</f>
        <v>35103</v>
      </c>
      <c r="U639" s="7">
        <f>Payroll_Data_Analysis[[#This Row],[Annual KPI Bonus Reserve]]+Payroll_Data_Analysis[[#This Row],[Vacation Reserve]]+Payroll_Data_Analysis[[#This Row],[11-Month Salary]]</f>
        <v>731439.93174061435</v>
      </c>
      <c r="V639" s="7">
        <f>Payroll_Data_Analysis[[#This Row],[Payroll Taxes (KPI Bonus)]]+Payroll_Data_Analysis[[#This Row],[Payroll Taxes (Vacation)]]+Payroll_Data_Analysis[[#This Row],[Payroll Taxes (Salary)]]</f>
        <v>220894.85938566554</v>
      </c>
      <c r="W639" s="13">
        <f>Payroll_Data_Analysis[[#This Row],[Total Payroll]]+Payroll_Data_Analysis[[#This Row],[Total Payroll Taxes]]</f>
        <v>952334.79112627986</v>
      </c>
    </row>
    <row r="640" spans="1:23">
      <c r="A640" s="11" t="s">
        <v>681</v>
      </c>
      <c r="B640" s="5" t="s">
        <v>643</v>
      </c>
      <c r="C640" s="5" t="s">
        <v>753</v>
      </c>
      <c r="D640" s="28" t="str">
        <f>VLOOKUP(Payroll_Data_Analysis[[#This Row],[Position]],Position_Map!$A$2:$B$58,2,FALSE)</f>
        <v>Professional</v>
      </c>
      <c r="E640" s="6">
        <v>1</v>
      </c>
      <c r="F640" s="7">
        <v>226100</v>
      </c>
      <c r="G640" s="7">
        <v>145000</v>
      </c>
      <c r="H640" s="7"/>
      <c r="I640" s="7">
        <f>dataset!$F640-dataset!$J640-dataset!$G640-dataset!$H640</f>
        <v>69500</v>
      </c>
      <c r="J640" s="7">
        <f>dataset!$G640*0.08</f>
        <v>11600</v>
      </c>
      <c r="K640" s="7">
        <f>dataset!$F640*12</f>
        <v>2713200</v>
      </c>
      <c r="L640" s="12">
        <f>IF(dataset!$G640&gt;=200000,38%,IF(dataset!$G640&lt;=145000,12.3%,))</f>
        <v>0.12300000000000001</v>
      </c>
      <c r="M640" s="7">
        <f>dataset!$G640*L641*12</f>
        <v>214020</v>
      </c>
      <c r="N640" s="7">
        <f>IF(Payroll_Data_Analysis[[#This Row],[Annual KPI Bonus Reserve]]&lt;=2979000,Payroll_Data_Analysis[[#This Row],[Annual KPI Bonus Reserve]]*0.302,2979000*0.302+(Payroll_Data_Analysis[[#This Row],[Annual KPI Bonus Reserve]]-2979000)*0.151)</f>
        <v>64634.04</v>
      </c>
      <c r="O640" s="7">
        <f>dataset!$K640+dataset!$M640</f>
        <v>2927220</v>
      </c>
      <c r="P640" s="7">
        <f>Payroll_Data_Analysis[[#This Row],[Annual Salary + KPI Bonus]]/12/29.3*31</f>
        <v>258088.22525597271</v>
      </c>
      <c r="Q640" s="7">
        <f>IF(Payroll_Data_Analysis[[#This Row],[Vacation Reserve]]&lt;=2979000,Payroll_Data_Analysis[[#This Row],[Vacation Reserve]]*0.302,2979000*0.302+(Payroll_Data_Analysis[[#This Row],[Vacation Reserve]]-2979000)*0.151)</f>
        <v>77942.644027303759</v>
      </c>
      <c r="R640" s="7">
        <f>Payroll_Data_Analysis[[#This Row],[Monthly Salary]]*11</f>
        <v>2487100</v>
      </c>
      <c r="S640" s="7">
        <f>IF(Payroll_Data_Analysis[[#This Row],[11-Month Salary]]&lt;=2979000,Payroll_Data_Analysis[[#This Row],[11-Month Salary]]*0.302,2979000*0.302+(Payroll_Data_Analysis[[#This Row],[11-Month Salary]]-2979000)*0.151)</f>
        <v>751104.2</v>
      </c>
      <c r="T640" s="7">
        <f>IF(Payroll_Data_Analysis[[#This Row],[Base Salary (Monthly)]]&gt;=200000,69507,IF(Payroll_Data_Analysis[[#This Row],[Base Salary (Monthly)]]&gt;=145000,52684,35103))</f>
        <v>52684</v>
      </c>
      <c r="U640" s="7">
        <f>Payroll_Data_Analysis[[#This Row],[Annual KPI Bonus Reserve]]+Payroll_Data_Analysis[[#This Row],[Vacation Reserve]]+Payroll_Data_Analysis[[#This Row],[11-Month Salary]]</f>
        <v>2959208.2252559727</v>
      </c>
      <c r="V640" s="7">
        <f>Payroll_Data_Analysis[[#This Row],[Payroll Taxes (KPI Bonus)]]+Payroll_Data_Analysis[[#This Row],[Payroll Taxes (Vacation)]]+Payroll_Data_Analysis[[#This Row],[Payroll Taxes (Salary)]]</f>
        <v>893680.88402730366</v>
      </c>
      <c r="W640" s="13">
        <f>Payroll_Data_Analysis[[#This Row],[Total Payroll]]+Payroll_Data_Analysis[[#This Row],[Total Payroll Taxes]]</f>
        <v>3852889.1092832764</v>
      </c>
    </row>
    <row r="641" spans="1:23">
      <c r="A641" s="20" t="s">
        <v>681</v>
      </c>
      <c r="B641" s="21" t="s">
        <v>644</v>
      </c>
      <c r="C641" s="21" t="s">
        <v>705</v>
      </c>
      <c r="D641" s="28" t="str">
        <f>VLOOKUP(Payroll_Data_Analysis[[#This Row],[Position]],Position_Map!$A$2:$B$58,2,FALSE)</f>
        <v>Professional</v>
      </c>
      <c r="E641" s="22">
        <v>1</v>
      </c>
      <c r="F641" s="23">
        <v>226100</v>
      </c>
      <c r="G641" s="23">
        <v>145000</v>
      </c>
      <c r="H641" s="23"/>
      <c r="I641" s="23">
        <f>dataset!$F641-dataset!$J641-dataset!$G641-dataset!$H641</f>
        <v>69500</v>
      </c>
      <c r="J641" s="23">
        <f>dataset!$G641*0.08</f>
        <v>11600</v>
      </c>
      <c r="K641" s="23">
        <f>dataset!$F641*12</f>
        <v>2713200</v>
      </c>
      <c r="L641" s="24">
        <f>IF(dataset!$G641&gt;=200000,38%,IF(dataset!$G641&lt;=145000,12.3%,))</f>
        <v>0.12300000000000001</v>
      </c>
      <c r="M641" s="23">
        <f>dataset!$G641*L642*12</f>
        <v>0</v>
      </c>
      <c r="N641" s="23">
        <f>IF(Payroll_Data_Analysis[[#This Row],[Annual KPI Bonus Reserve]]&lt;=2979000,Payroll_Data_Analysis[[#This Row],[Annual KPI Bonus Reserve]]*0.302,2979000*0.302+(Payroll_Data_Analysis[[#This Row],[Annual KPI Bonus Reserve]]-2979000)*0.151)</f>
        <v>0</v>
      </c>
      <c r="O641" s="23">
        <f>dataset!$K641+dataset!$M641</f>
        <v>2713200</v>
      </c>
      <c r="P641" s="23">
        <f>Payroll_Data_Analysis[[#This Row],[Annual Salary + KPI Bonus]]/12/29.3*31</f>
        <v>239218.43003412968</v>
      </c>
      <c r="Q641" s="23">
        <f>IF(Payroll_Data_Analysis[[#This Row],[Vacation Reserve]]&lt;=2979000,Payroll_Data_Analysis[[#This Row],[Vacation Reserve]]*0.302,2979000*0.302+(Payroll_Data_Analysis[[#This Row],[Vacation Reserve]]-2979000)*0.151)</f>
        <v>72243.965870307162</v>
      </c>
      <c r="R641" s="23">
        <f>Payroll_Data_Analysis[[#This Row],[Monthly Salary]]*11</f>
        <v>2487100</v>
      </c>
      <c r="S641" s="23">
        <f>IF(Payroll_Data_Analysis[[#This Row],[11-Month Salary]]&lt;=2979000,Payroll_Data_Analysis[[#This Row],[11-Month Salary]]*0.302,2979000*0.302+(Payroll_Data_Analysis[[#This Row],[11-Month Salary]]-2979000)*0.151)</f>
        <v>751104.2</v>
      </c>
      <c r="T641" s="23">
        <f>IF(Payroll_Data_Analysis[[#This Row],[Base Salary (Monthly)]]&gt;=200000,69507,IF(Payroll_Data_Analysis[[#This Row],[Base Salary (Monthly)]]&gt;=145000,52684,35103))</f>
        <v>52684</v>
      </c>
      <c r="U641" s="23">
        <f>Payroll_Data_Analysis[[#This Row],[Annual KPI Bonus Reserve]]+Payroll_Data_Analysis[[#This Row],[Vacation Reserve]]+Payroll_Data_Analysis[[#This Row],[11-Month Salary]]</f>
        <v>2726318.4300341299</v>
      </c>
      <c r="V641" s="23">
        <f>Payroll_Data_Analysis[[#This Row],[Payroll Taxes (KPI Bonus)]]+Payroll_Data_Analysis[[#This Row],[Payroll Taxes (Vacation)]]+Payroll_Data_Analysis[[#This Row],[Payroll Taxes (Salary)]]</f>
        <v>823348.16587030713</v>
      </c>
      <c r="W641" s="8">
        <f>Payroll_Data_Analysis[[#This Row],[Total Payroll]]+Payroll_Data_Analysis[[#This Row],[Total Payroll Taxes]]</f>
        <v>3549666.5959044369</v>
      </c>
    </row>
    <row r="642" spans="1:23" ht="15.6">
      <c r="E642" s="25">
        <f t="shared" ref="E642:K642" si="0">SUM(E2:E641)</f>
        <v>640</v>
      </c>
      <c r="F642" s="2">
        <f t="shared" si="0"/>
        <v>80481506</v>
      </c>
      <c r="G642" s="2">
        <f t="shared" si="0"/>
        <v>53950000</v>
      </c>
      <c r="H642" s="2">
        <f t="shared" si="0"/>
        <v>135500</v>
      </c>
      <c r="I642" s="2">
        <f t="shared" si="0"/>
        <v>22080006</v>
      </c>
      <c r="J642" s="2">
        <f t="shared" si="0"/>
        <v>4316000</v>
      </c>
      <c r="K642" s="2">
        <f t="shared" si="0"/>
        <v>965778072</v>
      </c>
      <c r="L642" s="3"/>
      <c r="M642" s="2">
        <f>SUM(M2:M641)</f>
        <v>90688200</v>
      </c>
      <c r="N642" s="2">
        <f>SUM(N2:N641)</f>
        <v>27387836.399999984</v>
      </c>
      <c r="O642" s="2">
        <f>SUM(O2:O641)</f>
        <v>1056466272</v>
      </c>
      <c r="P642" s="2">
        <f>SUM(P2:P641)</f>
        <v>93146912.491467342</v>
      </c>
      <c r="Q642" s="2">
        <f t="shared" ref="Q642:R642" si="1">SUM(Q2:Q641)</f>
        <v>28130367.572423272</v>
      </c>
      <c r="R642" s="2">
        <f t="shared" si="1"/>
        <v>885296566</v>
      </c>
      <c r="S642" s="2">
        <f>SUM(S2:S641)</f>
        <v>263530414.33199987</v>
      </c>
      <c r="T642" s="2">
        <f>SUM(T2:T641)</f>
        <v>25257656</v>
      </c>
      <c r="U642" s="2">
        <f>SUM(U2:U641)</f>
        <v>1069131678.4914663</v>
      </c>
      <c r="V642" s="2">
        <f t="shared" ref="V642:W642" si="2">SUM(V2:V641)</f>
        <v>319048618.30442399</v>
      </c>
      <c r="W642" s="2">
        <f t="shared" si="2"/>
        <v>1388180296.7958946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D515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2B6B-5E9C-46A9-9786-F51B46BD4EE6}">
  <dimension ref="A1:B58"/>
  <sheetViews>
    <sheetView workbookViewId="0">
      <selection activeCell="F12" sqref="F12"/>
    </sheetView>
  </sheetViews>
  <sheetFormatPr defaultRowHeight="14.4"/>
  <cols>
    <col min="1" max="1" width="36.88671875" customWidth="1"/>
    <col min="2" max="2" width="38.33203125" customWidth="1"/>
  </cols>
  <sheetData>
    <row r="1" spans="1:2">
      <c r="A1" s="31" t="s">
        <v>0</v>
      </c>
      <c r="B1" s="31" t="s">
        <v>754</v>
      </c>
    </row>
    <row r="2" spans="1:2">
      <c r="A2" s="27" t="s">
        <v>697</v>
      </c>
      <c r="B2" s="27" t="s">
        <v>755</v>
      </c>
    </row>
    <row r="3" spans="1:2">
      <c r="A3" s="27" t="s">
        <v>722</v>
      </c>
      <c r="B3" s="27" t="s">
        <v>755</v>
      </c>
    </row>
    <row r="4" spans="1:2">
      <c r="A4" s="27" t="s">
        <v>731</v>
      </c>
      <c r="B4" s="27" t="s">
        <v>755</v>
      </c>
    </row>
    <row r="5" spans="1:2" ht="28.8">
      <c r="A5" s="27" t="s">
        <v>744</v>
      </c>
      <c r="B5" s="27" t="s">
        <v>755</v>
      </c>
    </row>
    <row r="6" spans="1:2">
      <c r="A6" s="27" t="s">
        <v>700</v>
      </c>
      <c r="B6" s="27" t="s">
        <v>755</v>
      </c>
    </row>
    <row r="7" spans="1:2">
      <c r="A7" s="27" t="s">
        <v>706</v>
      </c>
      <c r="B7" s="27" t="s">
        <v>756</v>
      </c>
    </row>
    <row r="8" spans="1:2">
      <c r="A8" s="27" t="s">
        <v>703</v>
      </c>
      <c r="B8" s="27" t="s">
        <v>756</v>
      </c>
    </row>
    <row r="9" spans="1:2">
      <c r="A9" s="27" t="s">
        <v>704</v>
      </c>
      <c r="B9" s="27" t="s">
        <v>756</v>
      </c>
    </row>
    <row r="10" spans="1:2" ht="28.8">
      <c r="A10" s="27" t="s">
        <v>707</v>
      </c>
      <c r="B10" s="27" t="s">
        <v>756</v>
      </c>
    </row>
    <row r="11" spans="1:2">
      <c r="A11" s="27" t="s">
        <v>713</v>
      </c>
      <c r="B11" s="27" t="s">
        <v>756</v>
      </c>
    </row>
    <row r="12" spans="1:2">
      <c r="A12" s="27" t="s">
        <v>714</v>
      </c>
      <c r="B12" s="27" t="s">
        <v>756</v>
      </c>
    </row>
    <row r="13" spans="1:2">
      <c r="A13" s="27" t="s">
        <v>715</v>
      </c>
      <c r="B13" s="27" t="s">
        <v>756</v>
      </c>
    </row>
    <row r="14" spans="1:2">
      <c r="A14" s="27" t="s">
        <v>742</v>
      </c>
      <c r="B14" s="27" t="s">
        <v>756</v>
      </c>
    </row>
    <row r="15" spans="1:2">
      <c r="A15" s="27" t="s">
        <v>723</v>
      </c>
      <c r="B15" s="27" t="s">
        <v>756</v>
      </c>
    </row>
    <row r="16" spans="1:2">
      <c r="A16" s="27" t="s">
        <v>717</v>
      </c>
      <c r="B16" s="27" t="s">
        <v>650</v>
      </c>
    </row>
    <row r="17" spans="1:2">
      <c r="A17" s="27" t="s">
        <v>729</v>
      </c>
      <c r="B17" s="27" t="s">
        <v>650</v>
      </c>
    </row>
    <row r="18" spans="1:2">
      <c r="A18" s="27" t="s">
        <v>730</v>
      </c>
      <c r="B18" s="27" t="s">
        <v>650</v>
      </c>
    </row>
    <row r="19" spans="1:2">
      <c r="A19" s="27" t="s">
        <v>709</v>
      </c>
      <c r="B19" s="27" t="s">
        <v>650</v>
      </c>
    </row>
    <row r="20" spans="1:2">
      <c r="A20" s="27" t="s">
        <v>724</v>
      </c>
      <c r="B20" s="27" t="s">
        <v>650</v>
      </c>
    </row>
    <row r="21" spans="1:2">
      <c r="A21" s="27" t="s">
        <v>708</v>
      </c>
      <c r="B21" s="27" t="s">
        <v>757</v>
      </c>
    </row>
    <row r="22" spans="1:2">
      <c r="A22" s="27" t="s">
        <v>705</v>
      </c>
      <c r="B22" s="27" t="s">
        <v>757</v>
      </c>
    </row>
    <row r="23" spans="1:2">
      <c r="A23" s="27" t="s">
        <v>710</v>
      </c>
      <c r="B23" s="27" t="s">
        <v>757</v>
      </c>
    </row>
    <row r="24" spans="1:2">
      <c r="A24" s="27" t="s">
        <v>699</v>
      </c>
      <c r="B24" s="27" t="s">
        <v>757</v>
      </c>
    </row>
    <row r="25" spans="1:2">
      <c r="A25" s="27" t="s">
        <v>698</v>
      </c>
      <c r="B25" s="27" t="s">
        <v>645</v>
      </c>
    </row>
    <row r="26" spans="1:2">
      <c r="A26" s="27" t="s">
        <v>739</v>
      </c>
      <c r="B26" s="27" t="s">
        <v>645</v>
      </c>
    </row>
    <row r="27" spans="1:2">
      <c r="A27" s="27" t="s">
        <v>702</v>
      </c>
      <c r="B27" s="27" t="s">
        <v>645</v>
      </c>
    </row>
    <row r="28" spans="1:2">
      <c r="A28" s="27" t="s">
        <v>747</v>
      </c>
      <c r="B28" s="27" t="s">
        <v>669</v>
      </c>
    </row>
    <row r="29" spans="1:2">
      <c r="A29" s="27" t="s">
        <v>727</v>
      </c>
      <c r="B29" s="27" t="s">
        <v>669</v>
      </c>
    </row>
    <row r="30" spans="1:2">
      <c r="A30" s="27" t="s">
        <v>737</v>
      </c>
      <c r="B30" s="27" t="s">
        <v>669</v>
      </c>
    </row>
    <row r="31" spans="1:2">
      <c r="A31" s="27" t="s">
        <v>733</v>
      </c>
      <c r="B31" s="27" t="s">
        <v>664</v>
      </c>
    </row>
    <row r="32" spans="1:2">
      <c r="A32" s="27" t="s">
        <v>728</v>
      </c>
      <c r="B32" s="27" t="s">
        <v>664</v>
      </c>
    </row>
    <row r="33" spans="1:2">
      <c r="A33" s="27" t="s">
        <v>738</v>
      </c>
      <c r="B33" s="27" t="s">
        <v>664</v>
      </c>
    </row>
    <row r="34" spans="1:2">
      <c r="A34" s="27" t="s">
        <v>734</v>
      </c>
      <c r="B34" s="27" t="s">
        <v>664</v>
      </c>
    </row>
    <row r="35" spans="1:2">
      <c r="A35" s="27" t="s">
        <v>720</v>
      </c>
      <c r="B35" s="27" t="s">
        <v>758</v>
      </c>
    </row>
    <row r="36" spans="1:2">
      <c r="A36" s="27" t="s">
        <v>718</v>
      </c>
      <c r="B36" s="27" t="s">
        <v>758</v>
      </c>
    </row>
    <row r="37" spans="1:2">
      <c r="A37" s="27" t="s">
        <v>711</v>
      </c>
      <c r="B37" s="27" t="s">
        <v>758</v>
      </c>
    </row>
    <row r="38" spans="1:2">
      <c r="A38" s="27" t="s">
        <v>719</v>
      </c>
      <c r="B38" s="27" t="s">
        <v>758</v>
      </c>
    </row>
    <row r="39" spans="1:2">
      <c r="A39" s="27" t="s">
        <v>726</v>
      </c>
      <c r="B39" s="27" t="s">
        <v>758</v>
      </c>
    </row>
    <row r="40" spans="1:2">
      <c r="A40" s="27" t="s">
        <v>712</v>
      </c>
      <c r="B40" s="27" t="s">
        <v>758</v>
      </c>
    </row>
    <row r="41" spans="1:2">
      <c r="A41" s="27" t="s">
        <v>735</v>
      </c>
      <c r="B41" s="27" t="s">
        <v>758</v>
      </c>
    </row>
    <row r="42" spans="1:2">
      <c r="A42" s="27" t="s">
        <v>736</v>
      </c>
      <c r="B42" s="27" t="s">
        <v>758</v>
      </c>
    </row>
    <row r="43" spans="1:2" ht="28.8">
      <c r="A43" s="27" t="s">
        <v>701</v>
      </c>
      <c r="B43" s="27" t="s">
        <v>757</v>
      </c>
    </row>
    <row r="44" spans="1:2">
      <c r="A44" s="27" t="s">
        <v>716</v>
      </c>
      <c r="B44" s="27" t="s">
        <v>755</v>
      </c>
    </row>
    <row r="45" spans="1:2">
      <c r="A45" s="27" t="s">
        <v>721</v>
      </c>
      <c r="B45" s="27" t="s">
        <v>645</v>
      </c>
    </row>
    <row r="46" spans="1:2">
      <c r="A46" s="27" t="s">
        <v>725</v>
      </c>
      <c r="B46" s="27" t="s">
        <v>758</v>
      </c>
    </row>
    <row r="47" spans="1:2">
      <c r="A47" s="27" t="s">
        <v>732</v>
      </c>
      <c r="B47" s="27" t="s">
        <v>645</v>
      </c>
    </row>
    <row r="48" spans="1:2">
      <c r="A48" s="27" t="s">
        <v>740</v>
      </c>
      <c r="B48" s="27" t="s">
        <v>664</v>
      </c>
    </row>
    <row r="49" spans="1:2">
      <c r="A49" s="27" t="s">
        <v>741</v>
      </c>
      <c r="B49" s="27" t="s">
        <v>758</v>
      </c>
    </row>
    <row r="50" spans="1:2">
      <c r="A50" s="27" t="s">
        <v>704</v>
      </c>
      <c r="B50" s="27" t="s">
        <v>756</v>
      </c>
    </row>
    <row r="51" spans="1:2">
      <c r="A51" s="27" t="s">
        <v>745</v>
      </c>
      <c r="B51" s="27" t="s">
        <v>757</v>
      </c>
    </row>
    <row r="52" spans="1:2">
      <c r="A52" s="27" t="s">
        <v>746</v>
      </c>
      <c r="B52" s="27" t="s">
        <v>756</v>
      </c>
    </row>
    <row r="53" spans="1:2">
      <c r="A53" s="27" t="s">
        <v>748</v>
      </c>
      <c r="B53" s="27" t="s">
        <v>669</v>
      </c>
    </row>
    <row r="54" spans="1:2" ht="28.8">
      <c r="A54" s="27" t="s">
        <v>749</v>
      </c>
      <c r="B54" s="27" t="s">
        <v>756</v>
      </c>
    </row>
    <row r="55" spans="1:2">
      <c r="A55" s="27" t="s">
        <v>750</v>
      </c>
      <c r="B55" s="27" t="s">
        <v>757</v>
      </c>
    </row>
    <row r="56" spans="1:2">
      <c r="A56" s="27" t="s">
        <v>751</v>
      </c>
      <c r="B56" s="27" t="s">
        <v>650</v>
      </c>
    </row>
    <row r="57" spans="1:2">
      <c r="A57" s="27" t="s">
        <v>752</v>
      </c>
      <c r="B57" s="27" t="s">
        <v>757</v>
      </c>
    </row>
    <row r="58" spans="1:2">
      <c r="A58" s="27" t="s">
        <v>753</v>
      </c>
      <c r="B58" s="27" t="s">
        <v>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9C62-4360-4034-AE83-6741F07991EF}">
  <dimension ref="A1:B12"/>
  <sheetViews>
    <sheetView workbookViewId="0">
      <selection activeCell="B12" sqref="B12"/>
    </sheetView>
  </sheetViews>
  <sheetFormatPr defaultRowHeight="14.4"/>
  <cols>
    <col min="1" max="1" width="32.33203125" customWidth="1"/>
    <col min="2" max="2" width="31" customWidth="1"/>
  </cols>
  <sheetData>
    <row r="1" spans="1:2" ht="28.8" customHeight="1">
      <c r="A1" s="33" t="s">
        <v>761</v>
      </c>
      <c r="B1" s="33"/>
    </row>
    <row r="3" spans="1:2">
      <c r="A3" s="29" t="s">
        <v>759</v>
      </c>
      <c r="B3" t="s">
        <v>768</v>
      </c>
    </row>
    <row r="4" spans="1:2">
      <c r="A4" s="30" t="s">
        <v>757</v>
      </c>
      <c r="B4">
        <v>173</v>
      </c>
    </row>
    <row r="5" spans="1:2">
      <c r="A5" s="30" t="s">
        <v>664</v>
      </c>
      <c r="B5">
        <v>146</v>
      </c>
    </row>
    <row r="6" spans="1:2">
      <c r="A6" s="30" t="s">
        <v>758</v>
      </c>
      <c r="B6">
        <v>124</v>
      </c>
    </row>
    <row r="7" spans="1:2">
      <c r="A7" s="30" t="s">
        <v>756</v>
      </c>
      <c r="B7">
        <v>91</v>
      </c>
    </row>
    <row r="8" spans="1:2">
      <c r="A8" s="30" t="s">
        <v>650</v>
      </c>
      <c r="B8">
        <v>70</v>
      </c>
    </row>
    <row r="9" spans="1:2">
      <c r="A9" s="30" t="s">
        <v>669</v>
      </c>
      <c r="B9">
        <v>18</v>
      </c>
    </row>
    <row r="10" spans="1:2">
      <c r="A10" s="30" t="s">
        <v>645</v>
      </c>
      <c r="B10">
        <v>12</v>
      </c>
    </row>
    <row r="11" spans="1:2">
      <c r="A11" s="30" t="s">
        <v>755</v>
      </c>
      <c r="B11">
        <v>6</v>
      </c>
    </row>
    <row r="12" spans="1:2">
      <c r="A12" s="30" t="s">
        <v>760</v>
      </c>
      <c r="B12">
        <v>640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D75D-C82D-473B-A7A9-4892AC1D58F1}">
  <dimension ref="A1:B40"/>
  <sheetViews>
    <sheetView workbookViewId="0">
      <selection activeCell="B40" sqref="B40"/>
    </sheetView>
  </sheetViews>
  <sheetFormatPr defaultRowHeight="14.4"/>
  <cols>
    <col min="1" max="1" width="24.6640625" bestFit="1" customWidth="1"/>
    <col min="2" max="2" width="28.88671875" bestFit="1" customWidth="1"/>
  </cols>
  <sheetData>
    <row r="1" spans="1:2">
      <c r="A1" s="34" t="s">
        <v>762</v>
      </c>
      <c r="B1" s="34"/>
    </row>
    <row r="3" spans="1:2">
      <c r="A3" s="29" t="s">
        <v>759</v>
      </c>
      <c r="B3" t="s">
        <v>763</v>
      </c>
    </row>
    <row r="4" spans="1:2">
      <c r="A4" s="30" t="s">
        <v>645</v>
      </c>
      <c r="B4" s="32">
        <v>42215857.030784987</v>
      </c>
    </row>
    <row r="5" spans="1:2">
      <c r="A5" s="30" t="s">
        <v>666</v>
      </c>
      <c r="B5" s="32">
        <v>15372560.159590447</v>
      </c>
    </row>
    <row r="6" spans="1:2">
      <c r="A6" s="30" t="s">
        <v>657</v>
      </c>
      <c r="B6" s="32">
        <v>9861640.4834129699</v>
      </c>
    </row>
    <row r="7" spans="1:2">
      <c r="A7" s="30" t="s">
        <v>652</v>
      </c>
      <c r="B7" s="32">
        <v>99978929.725255996</v>
      </c>
    </row>
    <row r="8" spans="1:2">
      <c r="A8" s="30" t="s">
        <v>653</v>
      </c>
      <c r="B8" s="32">
        <v>72808541.675085291</v>
      </c>
    </row>
    <row r="9" spans="1:2">
      <c r="A9" s="30" t="s">
        <v>654</v>
      </c>
      <c r="B9" s="32">
        <v>88678171.472832829</v>
      </c>
    </row>
    <row r="10" spans="1:2">
      <c r="A10" s="30" t="s">
        <v>647</v>
      </c>
      <c r="B10" s="32">
        <v>140498401.96068263</v>
      </c>
    </row>
    <row r="11" spans="1:2">
      <c r="A11" s="30" t="s">
        <v>659</v>
      </c>
      <c r="B11" s="32">
        <v>20318796.125733785</v>
      </c>
    </row>
    <row r="12" spans="1:2">
      <c r="A12" s="30" t="s">
        <v>649</v>
      </c>
      <c r="B12" s="32">
        <v>10381169.084027303</v>
      </c>
    </row>
    <row r="13" spans="1:2">
      <c r="A13" s="30" t="s">
        <v>663</v>
      </c>
      <c r="B13" s="32">
        <v>30073374.98375427</v>
      </c>
    </row>
    <row r="14" spans="1:2">
      <c r="A14" s="30" t="s">
        <v>651</v>
      </c>
      <c r="B14" s="32">
        <v>25412420.358225256</v>
      </c>
    </row>
    <row r="15" spans="1:2">
      <c r="A15" s="30" t="s">
        <v>656</v>
      </c>
      <c r="B15" s="32">
        <v>13013827.497952219</v>
      </c>
    </row>
    <row r="16" spans="1:2">
      <c r="A16" s="30" t="s">
        <v>667</v>
      </c>
      <c r="B16" s="32">
        <v>52865079.648941971</v>
      </c>
    </row>
    <row r="17" spans="1:2">
      <c r="A17" s="30" t="s">
        <v>658</v>
      </c>
      <c r="B17" s="32">
        <v>19961742.013535839</v>
      </c>
    </row>
    <row r="18" spans="1:2">
      <c r="A18" s="30" t="s">
        <v>662</v>
      </c>
      <c r="B18" s="32">
        <v>10314564.512764506</v>
      </c>
    </row>
    <row r="19" spans="1:2">
      <c r="A19" s="30" t="s">
        <v>650</v>
      </c>
      <c r="B19" s="32">
        <v>54576612.062457331</v>
      </c>
    </row>
    <row r="20" spans="1:2">
      <c r="A20" s="30" t="s">
        <v>648</v>
      </c>
      <c r="B20" s="32">
        <v>49117188.140136525</v>
      </c>
    </row>
    <row r="21" spans="1:2">
      <c r="A21" s="30" t="s">
        <v>664</v>
      </c>
      <c r="B21" s="32">
        <v>143680659.08692813</v>
      </c>
    </row>
    <row r="22" spans="1:2">
      <c r="A22" s="30" t="s">
        <v>668</v>
      </c>
      <c r="B22" s="32">
        <v>39738176.584778167</v>
      </c>
    </row>
    <row r="23" spans="1:2">
      <c r="A23" s="30" t="s">
        <v>655</v>
      </c>
      <c r="B23" s="32">
        <v>45099203.588737197</v>
      </c>
    </row>
    <row r="24" spans="1:2">
      <c r="A24" s="30" t="s">
        <v>673</v>
      </c>
      <c r="B24" s="32">
        <v>44489654.013651878</v>
      </c>
    </row>
    <row r="25" spans="1:2">
      <c r="A25" s="30" t="s">
        <v>671</v>
      </c>
      <c r="B25" s="32">
        <v>8811999.7668941971</v>
      </c>
    </row>
    <row r="26" spans="1:2">
      <c r="A26" s="30" t="s">
        <v>665</v>
      </c>
      <c r="B26" s="32">
        <v>9009720.2870989777</v>
      </c>
    </row>
    <row r="27" spans="1:2">
      <c r="A27" s="30" t="s">
        <v>675</v>
      </c>
      <c r="B27" s="32">
        <v>34072189.855426624</v>
      </c>
    </row>
    <row r="28" spans="1:2">
      <c r="A28" s="30" t="s">
        <v>672</v>
      </c>
      <c r="B28" s="32">
        <v>9608281.6372013651</v>
      </c>
    </row>
    <row r="29" spans="1:2">
      <c r="A29" s="30" t="s">
        <v>680</v>
      </c>
      <c r="B29" s="32">
        <v>20607568.462935157</v>
      </c>
    </row>
    <row r="30" spans="1:2">
      <c r="A30" s="30" t="s">
        <v>669</v>
      </c>
      <c r="B30" s="32">
        <v>72569593.267030686</v>
      </c>
    </row>
    <row r="31" spans="1:2">
      <c r="A31" s="30" t="s">
        <v>646</v>
      </c>
      <c r="B31" s="32">
        <v>16100596.018430034</v>
      </c>
    </row>
    <row r="32" spans="1:2">
      <c r="A32" s="30" t="s">
        <v>679</v>
      </c>
      <c r="B32" s="32">
        <v>21972721.682730377</v>
      </c>
    </row>
    <row r="33" spans="1:2">
      <c r="A33" s="30" t="s">
        <v>678</v>
      </c>
      <c r="B33" s="32">
        <v>12482271.689283274</v>
      </c>
    </row>
    <row r="34" spans="1:2">
      <c r="A34" s="30" t="s">
        <v>676</v>
      </c>
      <c r="B34" s="32">
        <v>26088546.137474403</v>
      </c>
    </row>
    <row r="35" spans="1:2">
      <c r="A35" s="30" t="s">
        <v>677</v>
      </c>
      <c r="B35" s="32">
        <v>19517738.80423208</v>
      </c>
    </row>
    <row r="36" spans="1:2">
      <c r="A36" s="30" t="s">
        <v>681</v>
      </c>
      <c r="B36" s="32">
        <v>19369504.859590441</v>
      </c>
    </row>
    <row r="37" spans="1:2">
      <c r="A37" s="30" t="s">
        <v>660</v>
      </c>
      <c r="B37" s="32">
        <v>30628910.331399325</v>
      </c>
    </row>
    <row r="38" spans="1:2">
      <c r="A38" s="30" t="s">
        <v>661</v>
      </c>
      <c r="B38" s="32">
        <v>20549894.46020478</v>
      </c>
    </row>
    <row r="39" spans="1:2">
      <c r="A39" s="30" t="s">
        <v>674</v>
      </c>
      <c r="B39" s="32">
        <v>38334189.326689422</v>
      </c>
    </row>
    <row r="40" spans="1:2">
      <c r="A40" s="30" t="s">
        <v>760</v>
      </c>
      <c r="B40" s="32">
        <v>1388180296.795891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5034-5737-4DB3-A2DF-8D742EAF4CD7}">
  <dimension ref="A1:C12"/>
  <sheetViews>
    <sheetView workbookViewId="0">
      <selection activeCell="O18" sqref="O18"/>
    </sheetView>
  </sheetViews>
  <sheetFormatPr defaultRowHeight="14.4"/>
  <cols>
    <col min="1" max="1" width="12.88671875" bestFit="1" customWidth="1"/>
    <col min="2" max="2" width="16.5546875" bestFit="1" customWidth="1"/>
    <col min="3" max="3" width="10.21875" bestFit="1" customWidth="1"/>
  </cols>
  <sheetData>
    <row r="1" spans="1:3">
      <c r="A1" s="34" t="s">
        <v>764</v>
      </c>
      <c r="B1" s="34"/>
      <c r="C1" s="34"/>
    </row>
    <row r="3" spans="1:3">
      <c r="A3" s="29" t="s">
        <v>759</v>
      </c>
      <c r="B3" t="s">
        <v>767</v>
      </c>
    </row>
    <row r="4" spans="1:3">
      <c r="A4" s="30" t="s">
        <v>645</v>
      </c>
      <c r="B4" s="32">
        <v>42385859.592832766</v>
      </c>
    </row>
    <row r="5" spans="1:3">
      <c r="A5" s="30" t="s">
        <v>650</v>
      </c>
      <c r="B5" s="32">
        <v>180914052.79808888</v>
      </c>
    </row>
    <row r="6" spans="1:3">
      <c r="A6" s="30" t="s">
        <v>755</v>
      </c>
      <c r="B6" s="32">
        <v>41185602.021023892</v>
      </c>
    </row>
    <row r="7" spans="1:3">
      <c r="A7" s="30" t="s">
        <v>664</v>
      </c>
      <c r="B7" s="32">
        <v>135766941.07013625</v>
      </c>
    </row>
    <row r="8" spans="1:3">
      <c r="A8" s="30" t="s">
        <v>756</v>
      </c>
      <c r="B8" s="32">
        <v>363875239.13371986</v>
      </c>
    </row>
    <row r="9" spans="1:3">
      <c r="A9" s="30" t="s">
        <v>669</v>
      </c>
      <c r="B9" s="32">
        <v>22160792.493788391</v>
      </c>
    </row>
    <row r="10" spans="1:3">
      <c r="A10" s="30" t="s">
        <v>757</v>
      </c>
      <c r="B10" s="32">
        <v>396095736.09529006</v>
      </c>
    </row>
    <row r="11" spans="1:3">
      <c r="A11" s="30" t="s">
        <v>758</v>
      </c>
      <c r="B11" s="32">
        <v>205796073.59100997</v>
      </c>
    </row>
    <row r="12" spans="1:3">
      <c r="A12" s="30" t="s">
        <v>760</v>
      </c>
      <c r="B12" s="32">
        <v>1388180296.7958899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9E9E-BCEE-4C5C-8293-CEB82AD9B634}">
  <dimension ref="A1:B12"/>
  <sheetViews>
    <sheetView workbookViewId="0">
      <selection activeCell="C12" sqref="C12"/>
    </sheetView>
  </sheetViews>
  <sheetFormatPr defaultRowHeight="14.4"/>
  <cols>
    <col min="1" max="1" width="12.88671875" bestFit="1" customWidth="1"/>
    <col min="2" max="2" width="23.6640625" bestFit="1" customWidth="1"/>
    <col min="3" max="3" width="10.21875" bestFit="1" customWidth="1"/>
  </cols>
  <sheetData>
    <row r="1" spans="1:2">
      <c r="A1" s="35" t="s">
        <v>766</v>
      </c>
      <c r="B1" s="35"/>
    </row>
    <row r="3" spans="1:2">
      <c r="A3" s="29" t="s">
        <v>759</v>
      </c>
      <c r="B3" t="s">
        <v>765</v>
      </c>
    </row>
    <row r="4" spans="1:2">
      <c r="A4" s="30" t="s">
        <v>645</v>
      </c>
      <c r="B4" s="32">
        <v>201683.33333333334</v>
      </c>
    </row>
    <row r="5" spans="1:2">
      <c r="A5" s="30" t="s">
        <v>650</v>
      </c>
      <c r="B5" s="32">
        <v>149767.14285714287</v>
      </c>
    </row>
    <row r="6" spans="1:2">
      <c r="A6" s="30" t="s">
        <v>755</v>
      </c>
      <c r="B6" s="32">
        <v>395933.33333333331</v>
      </c>
    </row>
    <row r="7" spans="1:2">
      <c r="A7" s="30" t="s">
        <v>664</v>
      </c>
      <c r="B7" s="32">
        <v>54065.034246575342</v>
      </c>
    </row>
    <row r="8" spans="1:2">
      <c r="A8" s="30" t="s">
        <v>756</v>
      </c>
      <c r="B8" s="32">
        <v>233670.32967032967</v>
      </c>
    </row>
    <row r="9" spans="1:2">
      <c r="A9" s="30" t="s">
        <v>669</v>
      </c>
      <c r="B9" s="32">
        <v>72277.777777777781</v>
      </c>
    </row>
    <row r="10" spans="1:2">
      <c r="A10" s="30" t="s">
        <v>757</v>
      </c>
      <c r="B10" s="32">
        <v>132230.17341040462</v>
      </c>
    </row>
    <row r="11" spans="1:2">
      <c r="A11" s="30" t="s">
        <v>758</v>
      </c>
      <c r="B11" s="32">
        <v>95707.18548387097</v>
      </c>
    </row>
    <row r="12" spans="1:2">
      <c r="A12" s="30" t="s">
        <v>760</v>
      </c>
      <c r="B12" s="32">
        <v>125752.35312499999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DECC-4C78-47D7-BB4C-CC1BB6A4440E}">
  <dimension ref="A2:R20"/>
  <sheetViews>
    <sheetView showGridLines="0" zoomScale="70" zoomScaleNormal="70" workbookViewId="0">
      <selection activeCell="U35" sqref="U35"/>
    </sheetView>
  </sheetViews>
  <sheetFormatPr defaultRowHeight="14.4"/>
  <sheetData>
    <row r="2" spans="1:18" ht="14.4" customHeight="1">
      <c r="A2" s="36" t="s">
        <v>761</v>
      </c>
      <c r="B2" s="36"/>
      <c r="C2" s="36"/>
      <c r="D2" s="36"/>
      <c r="E2" s="36"/>
      <c r="F2" s="36"/>
      <c r="G2" s="36"/>
      <c r="H2" s="36"/>
      <c r="K2" s="35" t="s">
        <v>766</v>
      </c>
      <c r="L2" s="35"/>
      <c r="M2" s="35"/>
      <c r="N2" s="35"/>
      <c r="O2" s="35"/>
      <c r="P2" s="35"/>
      <c r="Q2" s="35"/>
      <c r="R2" s="35"/>
    </row>
    <row r="20" spans="5:13">
      <c r="E20" s="35" t="s">
        <v>769</v>
      </c>
      <c r="F20" s="35"/>
      <c r="G20" s="35"/>
      <c r="H20" s="35"/>
      <c r="I20" s="35"/>
      <c r="J20" s="35"/>
      <c r="K20" s="35"/>
      <c r="L20" s="35"/>
      <c r="M20" s="35"/>
    </row>
  </sheetData>
  <mergeCells count="3">
    <mergeCell ref="K2:R2"/>
    <mergeCell ref="A2:H2"/>
    <mergeCell ref="E20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Position_Map</vt:lpstr>
      <vt:lpstr>Headcount</vt:lpstr>
      <vt:lpstr>Payroll_Department</vt:lpstr>
      <vt:lpstr>Payroll_Job function</vt:lpstr>
      <vt:lpstr>Average_monthly salary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Leisan Tseiko</dc:creator>
  <cp:lastModifiedBy>Leisan Tseiko</cp:lastModifiedBy>
  <dcterms:created xsi:type="dcterms:W3CDTF">2025-11-01T09:29:23Z</dcterms:created>
  <dcterms:modified xsi:type="dcterms:W3CDTF">2026-09-24T20:43:06Z</dcterms:modified>
</cp:coreProperties>
</file>